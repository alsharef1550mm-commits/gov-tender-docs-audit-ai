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تقرير السندات" sheetId="1" state="visible" r:id="rId1"/>
    <sheet name="تفصيل الأصناف" sheetId="2" state="visible" r:id="rId2"/>
    <sheet name="مطابقة التعاميد" sheetId="3" state="visible" r:id="rId3"/>
    <sheet name="تقرير المنافسة والأصناف" sheetId="4" state="visible" r:id="rId4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rlito"/>
      <sz val="11"/>
    </font>
    <font>
      <name val="Arial"/>
      <b val="1"/>
      <color rgb="FF17365D"/>
      <sz val="14"/>
    </font>
    <font>
      <name val="Arial"/>
      <color rgb="FF596779"/>
      <sz val="10"/>
    </font>
    <font>
      <name val="Arial"/>
      <b val="1"/>
      <color rgb="FFFFFFFF"/>
      <sz val="10"/>
    </font>
    <font>
      <name val="Arial"/>
      <color rgb="FF192536"/>
      <sz val="10"/>
    </font>
    <font>
      <name val="Arial"/>
      <b val="1"/>
      <color rgb="FF17365D"/>
      <sz val="11"/>
    </font>
    <font>
      <name val="Arial"/>
      <b val="1"/>
      <color rgb="FF17365D"/>
      <sz val="10"/>
    </font>
  </fonts>
  <fills count="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EAF0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5DFE8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er" wrapText="1"/>
    </xf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wrapText="1"/>
    </xf>
    <xf numFmtId="164" fontId="4" fillId="0" borderId="0" pivotButton="0" quotePrefix="0" xfId="0"/>
    <xf numFmtId="4" fontId="4" fillId="0" borderId="0" pivotButton="0" quotePrefix="0" xfId="0"/>
    <xf numFmtId="3" fontId="4" fillId="0" borderId="0" pivotButton="0" quotePrefix="0" xfId="0"/>
    <xf numFmtId="9" fontId="4" fillId="0" borderId="0" pivotButton="0" quotePrefix="0" xfId="0"/>
    <xf numFmtId="0" fontId="0" fillId="3" borderId="0" pivotButton="0" quotePrefix="0" xfId="0"/>
    <xf numFmtId="0" fontId="5" fillId="3" borderId="0" pivotButton="0" quotePrefix="0" xfId="0"/>
    <xf numFmtId="4" fontId="0" fillId="0" borderId="0" pivotButton="0" quotePrefix="0" xfId="0"/>
    <xf numFmtId="4" fontId="5" fillId="3" borderId="0" pivotButton="0" quotePrefix="0" xfId="0"/>
    <xf numFmtId="3" fontId="0" fillId="0" borderId="0" pivotButton="0" quotePrefix="0" xfId="0"/>
    <xf numFmtId="0" fontId="6" fillId="3" borderId="0" pivotButton="0" quotePrefix="0" xfId="0"/>
    <xf numFmtId="3" fontId="6" fillId="3" borderId="0" pivotButton="0" quotePrefix="0" xfId="0"/>
    <xf numFmtId="4" fontId="6" fillId="3" borderId="0" pivotButton="0" quotePrefix="0" xfId="0"/>
    <xf numFmtId="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wrapText="1"/>
    </xf>
    <xf numFmtId="3" fontId="4" fillId="0" borderId="0" pivotButton="0" quotePrefix="0" xfId="0"/>
    <xf numFmtId="164" fontId="4" fillId="0" borderId="0" pivotButton="0" quotePrefix="0" xfId="0"/>
    <xf numFmtId="4" fontId="4" fillId="0" borderId="0" pivotButton="0" quotePrefix="0" xfId="0"/>
    <xf numFmtId="9" fontId="4" fillId="0" borderId="0" pivotButton="0" quotePrefix="0" xfId="0"/>
    <xf numFmtId="4" fontId="0" fillId="0" borderId="0" pivotButton="0" quotePrefix="0" xfId="0"/>
    <xf numFmtId="4" fontId="5" fillId="3" borderId="0" pivotButton="0" quotePrefix="0" xfId="0"/>
    <xf numFmtId="3" fontId="0" fillId="0" borderId="0" pivotButton="0" quotePrefix="0" xfId="0"/>
    <xf numFmtId="9" fontId="0" fillId="0" borderId="0" pivotButton="0" quotePrefix="0" xfId="0"/>
    <xf numFmtId="3" fontId="6" fillId="3" borderId="0" pivotButton="0" quotePrefix="0" xfId="0"/>
    <xf numFmtId="4" fontId="6" fillId="3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F6"/>
  <sheetViews>
    <sheetView showGridLines="0" workbookViewId="0">
      <pane xSplit="4" ySplit="5" topLeftCell="E6" activePane="bottomRight" state="frozen"/>
      <selection activeCell="A1" sqref="A1"/>
    </sheetView>
  </sheetViews>
  <sheetFormatPr baseColWidth="8" defaultRowHeight="15"/>
  <cols>
    <col width="21" customWidth="1" min="1" max="1"/>
    <col width="12" customWidth="1" min="2" max="2"/>
    <col width="13" customWidth="1" min="3" max="3"/>
    <col width="22" customWidth="1" min="4" max="4"/>
    <col width="16" customWidth="1" min="5" max="5"/>
    <col width="22" customWidth="1" min="6" max="6"/>
    <col width="18" customWidth="1" min="7" max="7"/>
    <col width="16" customWidth="1" min="8" max="8"/>
    <col width="21" customWidth="1" min="9" max="9"/>
    <col width="20" customWidth="1" min="10" max="10"/>
    <col width="20" customWidth="1" min="11" max="11"/>
    <col width="21" customWidth="1" min="12" max="12"/>
    <col width="17" customWidth="1" min="13" max="13"/>
    <col width="17" customWidth="1" min="14" max="14"/>
    <col width="21" customWidth="1" min="15" max="15"/>
    <col width="17" customWidth="1" min="16" max="16"/>
    <col width="19" customWidth="1" min="17" max="17"/>
    <col width="17" customWidth="1" min="18" max="18"/>
    <col width="20" customWidth="1" min="19" max="19"/>
    <col width="18" customWidth="1" min="20" max="20"/>
    <col width="21" customWidth="1" min="21" max="21"/>
    <col width="22" customWidth="1" min="22" max="22"/>
    <col width="21" customWidth="1" min="23" max="23"/>
    <col width="22" customWidth="1" min="24" max="24"/>
    <col width="23" customWidth="1" min="25" max="25"/>
    <col width="40" customWidth="1" min="26" max="26"/>
    <col width="31" customWidth="1" min="27" max="27"/>
    <col width="16" customWidth="1" min="28" max="28"/>
    <col width="17" customWidth="1" min="29" max="29"/>
    <col width="17" customWidth="1" min="30" max="30"/>
    <col width="17" customWidth="1" min="31" max="31"/>
    <col width="14" customWidth="1" min="32" max="32"/>
  </cols>
  <sheetData>
    <row r="2">
      <c r="A2" s="1" t="inlineStr">
        <is>
          <t>تقرير السندات - فحص المنافسة</t>
        </is>
      </c>
    </row>
    <row r="3">
      <c r="A3" s="2" t="inlineStr">
        <is>
          <t>المنافسة MED-2026-339 | 6 دفعات | أرقام الأصناف والكميات والأسعار متقابلة بالترتيب نفسه؛ تفاصيل كل صنف في الشيت التالي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</row>
    <row r="5" ht="60" customHeight="1">
      <c r="A5" s="8" t="inlineStr">
        <is>
          <t>رقم المنافسة</t>
        </is>
      </c>
      <c r="B5" s="8" t="inlineStr">
        <is>
          <t>رقم الدفعة</t>
        </is>
      </c>
      <c r="C5" s="8" t="inlineStr">
        <is>
          <t>رقم الربطة</t>
        </is>
      </c>
      <c r="D5" s="8" t="inlineStr">
        <is>
          <t>رقم السند</t>
        </is>
      </c>
      <c r="E5" s="8" t="inlineStr">
        <is>
          <t>تاريخ السند</t>
        </is>
      </c>
      <c r="F5" s="8" t="inlineStr">
        <is>
          <t>رقم التعميد</t>
        </is>
      </c>
      <c r="G5" s="8" t="inlineStr">
        <is>
          <t>رقم الفاتورة</t>
        </is>
      </c>
      <c r="H5" s="8" t="inlineStr">
        <is>
          <t>تاريخ الفاتورة</t>
        </is>
      </c>
      <c r="I5" s="8" t="inlineStr">
        <is>
          <t>رقم الأصناف</t>
        </is>
      </c>
      <c r="J5" s="8" t="inlineStr">
        <is>
          <t>عدد الوحدات لكل صنف</t>
        </is>
      </c>
      <c r="K5" s="8" t="inlineStr">
        <is>
          <t>سعر الوحدة لكل صنف</t>
        </is>
      </c>
      <c r="L5" s="8" t="inlineStr">
        <is>
          <t>صافي الإجمالي لكامل السند</t>
        </is>
      </c>
      <c r="M5" s="8" t="inlineStr">
        <is>
          <t>عمولة نوبكو</t>
        </is>
      </c>
      <c r="N5" s="8" t="inlineStr">
        <is>
          <t>هل يوجد ضريبة (نعم/لا)</t>
        </is>
      </c>
      <c r="O5" s="8" t="inlineStr">
        <is>
          <t>نوع الضريبة (جزئي/كامل السند)</t>
        </is>
      </c>
      <c r="P5" s="8" t="inlineStr">
        <is>
          <t>ضريبة القيمة المضافة</t>
        </is>
      </c>
      <c r="Q5" s="8" t="inlineStr">
        <is>
          <t>غرامة التأخير (نعم/لا)</t>
        </is>
      </c>
      <c r="R5" s="8" t="inlineStr">
        <is>
          <t>مبلغ الغرامة</t>
        </is>
      </c>
      <c r="S5" s="8" t="inlineStr">
        <is>
          <t>غرامات أخرى (نعم/لا)</t>
        </is>
      </c>
      <c r="T5" s="8" t="inlineStr">
        <is>
          <t>مبلغ الغرامات الأخرى</t>
        </is>
      </c>
      <c r="U5" s="8" t="inlineStr">
        <is>
          <t>الإجمالي بعد عمولة نوبكو</t>
        </is>
      </c>
      <c r="V5" s="8" t="inlineStr">
        <is>
          <t>الإجمالي بعد عمولة نوبكو وضريبة القيمة المضافة</t>
        </is>
      </c>
      <c r="W5" s="8" t="inlineStr">
        <is>
          <t>الإجمالي بعد خصم الغرامات إن وجدت</t>
        </is>
      </c>
      <c r="X5" s="8" t="inlineStr">
        <is>
          <t>مبلغ السداد المستحق (للسند)</t>
        </is>
      </c>
      <c r="Y5" s="8" t="inlineStr">
        <is>
          <t>حالة السند</t>
        </is>
      </c>
      <c r="Z5" s="8" t="inlineStr">
        <is>
          <t>سبب أنه غير سليم</t>
        </is>
      </c>
      <c r="AA5" s="8" t="inlineStr">
        <is>
          <t>ملف الربطة</t>
        </is>
      </c>
      <c r="AB5" s="8" t="inlineStr">
        <is>
          <t>صفحات السند</t>
        </is>
      </c>
      <c r="AC5" s="8" t="inlineStr">
        <is>
          <t>صفحات الفاتورة</t>
        </is>
      </c>
      <c r="AD5" s="8" t="inlineStr">
        <is>
          <t>صفحات التعميد</t>
        </is>
      </c>
      <c r="AE5" s="8" t="inlineStr">
        <is>
          <t>موعد التوريد</t>
        </is>
      </c>
      <c r="AF5" s="8" t="inlineStr">
        <is>
          <t>أيام التأخير</t>
        </is>
      </c>
    </row>
    <row r="6">
      <c r="A6" s="9" t="inlineStr">
        <is>
          <t>MED-2026-339</t>
        </is>
      </c>
      <c r="B6" s="26" t="n">
        <v>1</v>
      </c>
      <c r="C6" s="26" t="n">
        <v>1</v>
      </c>
      <c r="D6" s="9" t="inlineStr">
        <is>
          <t>STO0000005239</t>
        </is>
      </c>
      <c r="E6" s="27" t="n">
        <v>46304</v>
      </c>
      <c r="F6" s="9" t="inlineStr">
        <is>
          <t>PON0000000986</t>
        </is>
      </c>
      <c r="G6" s="9" t="inlineStr">
        <is>
          <t>5002602877</t>
        </is>
      </c>
      <c r="H6" s="27" t="n">
        <v>46304</v>
      </c>
      <c r="I6" s="10" t="inlineStr">
        <is>
          <t>WND-004</t>
        </is>
      </c>
      <c r="J6" s="10" t="inlineStr">
        <is>
          <t>2</t>
        </is>
      </c>
      <c r="K6" s="10" t="inlineStr">
        <is>
          <t>50.00</t>
        </is>
      </c>
      <c r="L6" s="28" t="n">
        <v>100</v>
      </c>
      <c r="M6" s="28" t="n">
        <v>4</v>
      </c>
      <c r="N6" s="9" t="inlineStr">
        <is>
          <t>نعم</t>
        </is>
      </c>
      <c r="O6" s="9" t="inlineStr">
        <is>
          <t>كامل السند</t>
        </is>
      </c>
      <c r="P6" s="28" t="n">
        <v>15.6</v>
      </c>
      <c r="Q6" s="9" t="inlineStr">
        <is>
          <t>لا</t>
        </is>
      </c>
      <c r="R6" s="28" t="n">
        <v>0</v>
      </c>
      <c r="S6" s="9" t="inlineStr">
        <is>
          <t>لا</t>
        </is>
      </c>
      <c r="T6" s="28" t="n">
        <v>0</v>
      </c>
      <c r="U6" s="28" t="n">
        <v>104</v>
      </c>
      <c r="V6" s="28" t="n">
        <v>119.6</v>
      </c>
      <c r="W6" s="28" t="n">
        <v>119.6</v>
      </c>
      <c r="X6" s="28" t="n">
        <v>119.6</v>
      </c>
      <c r="Y6" s="9" t="inlineStr">
        <is>
          <t>سليم محاسبياً</t>
        </is>
      </c>
      <c r="Z6" s="9" t="str"/>
      <c r="AA6" s="9" t="inlineStr">
        <is>
          <t>MED-2026-339-01-001.pdf</t>
        </is>
      </c>
      <c r="AB6" s="9" t="inlineStr">
        <is>
          <t>2</t>
        </is>
      </c>
      <c r="AC6" s="9" t="inlineStr">
        <is>
          <t>7</t>
        </is>
      </c>
      <c r="AD6" s="9" t="inlineStr">
        <is>
          <t>1</t>
        </is>
      </c>
      <c r="AE6" s="27" t="n">
        <v>46310</v>
      </c>
      <c r="AF6" s="26" t="n">
        <v>0</v>
      </c>
    </row>
    <row r="10" ht="62" customHeight="1"/>
    <row r="11" ht="62" customHeight="1"/>
    <row r="12" ht="80" customHeight="1"/>
    <row r="30" ht="62" customHeight="1"/>
    <row r="38" ht="62" customHeight="1"/>
    <row r="39" ht="62" customHeight="1"/>
    <row r="47" ht="62" customHeight="1"/>
    <row r="52" ht="62" customHeight="1"/>
    <row r="54" ht="62" customHeight="1"/>
    <row r="66" ht="62" customHeight="1"/>
    <row r="67" ht="80" customHeight="1"/>
    <row r="71" ht="62" customHeight="1"/>
    <row r="90" ht="62" customHeight="1"/>
    <row r="91" ht="62" customHeight="1"/>
    <row r="95" ht="62" customHeight="1"/>
    <row r="96" ht="62" customHeight="1"/>
    <row r="97" ht="80" customHeight="1"/>
    <row r="98" ht="80" customHeight="1"/>
    <row r="99" ht="62" customHeight="1"/>
    <row r="119" ht="62" customHeight="1"/>
    <row r="122" ht="80" customHeight="1"/>
    <row r="124" ht="62" customHeight="1"/>
    <row r="125" ht="62" customHeight="1"/>
    <row r="135" ht="80" customHeight="1"/>
    <row r="149" ht="62" customHeight="1"/>
    <row r="161" ht="152" customHeight="1"/>
    <row r="163" ht="62" customHeight="1"/>
    <row r="184" ht="170" customHeight="1"/>
    <row r="186" ht="62" customHeight="1"/>
    <row r="195" ht="152" customHeight="1"/>
    <row r="199" ht="62" customHeight="1"/>
    <row r="201" ht="62" customHeight="1"/>
    <row r="203" ht="62" customHeight="1"/>
    <row r="211" ht="62" customHeight="1"/>
    <row r="214" ht="80" customHeight="1"/>
    <row r="219" ht="62" customHeight="1"/>
    <row r="223" ht="62" customHeight="1"/>
    <row r="224" ht="62" customHeight="1"/>
    <row r="226" ht="62" customHeight="1"/>
    <row r="227" ht="62" customHeight="1"/>
    <row r="242" ht="62" customHeight="1"/>
    <row r="264" ht="62" customHeight="1"/>
    <row r="266" ht="98" customHeight="1"/>
    <row r="272" ht="98" customHeight="1"/>
    <row r="278" ht="80" customHeight="1"/>
    <row r="279" ht="62" customHeight="1"/>
    <row r="280" ht="116" customHeight="1"/>
    <row r="286" ht="134" customHeight="1"/>
    <row r="295" ht="80" customHeight="1"/>
    <row r="296" ht="80" customHeight="1"/>
    <row r="298" ht="80" customHeight="1"/>
    <row r="300" ht="116" customHeight="1"/>
    <row r="311" ht="62" customHeight="1"/>
    <row r="328" ht="62" customHeight="1"/>
    <row r="329" ht="62" customHeight="1"/>
    <row r="331" ht="80" customHeight="1"/>
    <row r="333" ht="98" customHeight="1"/>
    <row r="335" ht="62" customHeight="1"/>
    <row r="337" ht="152" customHeight="1"/>
    <row r="343" ht="62" customHeight="1"/>
    <row r="351" ht="116" customHeight="1"/>
    <row r="365" ht="134" customHeight="1"/>
    <row r="366" ht="116" customHeight="1"/>
    <row r="371" ht="62" customHeight="1"/>
    <row r="372" ht="62" customHeight="1"/>
    <row r="376" ht="62" customHeight="1"/>
    <row r="385" ht="62" customHeight="1"/>
    <row r="387" ht="62" customHeight="1"/>
    <row r="388" ht="116" customHeight="1"/>
    <row r="389" ht="116" customHeight="1"/>
    <row r="390" ht="62" customHeight="1"/>
    <row r="393" ht="62" customHeight="1"/>
    <row r="399" ht="116" customHeight="1"/>
    <row r="400" ht="62" customHeight="1"/>
    <row r="402" ht="80" customHeight="1"/>
    <row r="407" ht="62" customHeight="1"/>
    <row r="408" ht="62" customHeight="1"/>
    <row r="409" ht="98" customHeight="1"/>
    <row r="410" ht="116" customHeight="1"/>
    <row r="411" ht="98" customHeight="1"/>
    <row r="417" ht="62" customHeight="1"/>
    <row r="423" ht="62" customHeight="1"/>
    <row r="427" ht="80" customHeight="1"/>
    <row r="428" ht="62" customHeight="1"/>
    <row r="430" ht="62" customHeight="1"/>
    <row r="432" ht="80" customHeight="1"/>
    <row r="433" ht="62" customHeight="1"/>
    <row r="444" ht="80" customHeight="1"/>
    <row r="448" ht="62" customHeight="1"/>
    <row r="452" ht="62" customHeight="1"/>
    <row r="462" ht="80" customHeight="1"/>
    <row r="467" ht="98" customHeight="1"/>
    <row r="483" ht="62" customHeight="1"/>
    <row r="486" ht="62" customHeight="1"/>
    <row r="504" ht="80" customHeight="1"/>
    <row r="510" ht="134" customHeight="1"/>
    <row r="511" ht="116" customHeight="1"/>
    <row r="512" ht="170" customHeight="1"/>
    <row r="529" ht="62" customHeight="1"/>
    <row r="530" ht="98" customHeight="1"/>
    <row r="531" ht="62" customHeight="1"/>
    <row r="532" ht="62" customHeight="1"/>
    <row r="569" ht="62" customHeight="1"/>
    <row r="570" ht="62" customHeight="1"/>
    <row r="575" ht="62" customHeight="1"/>
    <row r="578" ht="80" customHeight="1"/>
    <row r="589" ht="80" customHeight="1"/>
    <row r="594" ht="62" customHeight="1"/>
    <row r="596" ht="62" customHeight="1"/>
    <row r="604" ht="80" customHeight="1"/>
    <row r="605" ht="80" customHeight="1"/>
    <row r="606" ht="80" customHeight="1"/>
    <row r="607" ht="62" customHeight="1"/>
    <row r="608" ht="62" customHeight="1"/>
    <row r="609" ht="80" customHeight="1"/>
    <row r="611" ht="62" customHeight="1"/>
    <row r="617" ht="62" customHeight="1"/>
    <row r="622" ht="80" customHeight="1"/>
    <row r="623" ht="98" customHeight="1"/>
    <row r="624" ht="98" customHeight="1"/>
    <row r="627" ht="98" customHeight="1"/>
    <row r="629" ht="116" customHeight="1"/>
    <row r="630" ht="62" customHeight="1"/>
    <row r="631" ht="116" customHeight="1"/>
    <row r="640" ht="62" customHeight="1"/>
    <row r="649" ht="62" customHeight="1"/>
    <row r="653" ht="62" customHeight="1"/>
    <row r="654" ht="62" customHeight="1"/>
    <row r="655" ht="62" customHeight="1"/>
    <row r="656" ht="62" customHeight="1"/>
    <row r="665" ht="80" customHeight="1"/>
    <row r="676" ht="98" customHeight="1"/>
    <row r="677" ht="80" customHeight="1"/>
    <row r="685" ht="116" customHeight="1"/>
    <row r="687" ht="80" customHeight="1"/>
    <row r="688" ht="62" customHeight="1"/>
    <row r="689" ht="62" customHeight="1"/>
    <row r="694" ht="62" customHeight="1"/>
    <row r="696" ht="134" customHeight="1"/>
    <row r="697" ht="134" customHeight="1"/>
    <row r="698" ht="98" customHeight="1"/>
    <row r="699" ht="116" customHeight="1"/>
    <row r="700" ht="134" customHeight="1"/>
    <row r="702" ht="134" customHeight="1"/>
    <row r="705" ht="62" customHeight="1"/>
    <row r="708" ht="62" customHeight="1"/>
    <row r="729" ht="80" customHeight="1"/>
    <row r="738" ht="134" customHeight="1"/>
    <row r="739" ht="62" customHeight="1"/>
    <row r="740" ht="62" customHeight="1"/>
    <row r="743" ht="98" customHeight="1"/>
    <row r="751" ht="62" customHeight="1"/>
    <row r="775" ht="98" customHeight="1"/>
    <row r="776" ht="116" customHeight="1"/>
    <row r="777" ht="134" customHeight="1"/>
    <row r="778" ht="116" customHeight="1"/>
    <row r="782" ht="80" customHeight="1"/>
    <row r="787" ht="62" customHeight="1"/>
    <row r="788" ht="62" customHeight="1"/>
    <row r="789" ht="62" customHeight="1"/>
    <row r="791" ht="80" customHeight="1"/>
    <row r="792" ht="80" customHeight="1"/>
    <row r="793" ht="80" customHeight="1"/>
    <row r="794" ht="62" customHeight="1"/>
    <row r="797" ht="62" customHeight="1"/>
    <row r="798" ht="80" customHeight="1"/>
    <row r="803" ht="62" customHeight="1"/>
    <row r="808" ht="80" customHeight="1"/>
    <row r="809" ht="80" customHeight="1"/>
    <row r="810" ht="80" customHeight="1"/>
    <row r="812" ht="98" customHeight="1"/>
    <row r="814" ht="62" customHeight="1"/>
    <row r="818" ht="80" customHeight="1"/>
    <row r="819" ht="62" customHeight="1"/>
    <row r="820" ht="62" customHeight="1"/>
    <row r="850" ht="134" customHeight="1"/>
    <row r="853" ht="62" customHeight="1"/>
    <row r="854" ht="62" customHeight="1"/>
    <row r="857" ht="80" customHeight="1"/>
    <row r="858" ht="134" customHeight="1"/>
    <row r="859" ht="62" customHeight="1"/>
    <row r="862" ht="80" customHeight="1"/>
    <row r="863" ht="116" customHeight="1"/>
    <row r="865" ht="62" customHeight="1"/>
    <row r="866" ht="62" customHeight="1"/>
    <row r="874" ht="62" customHeight="1"/>
    <row r="875" ht="62" customHeight="1"/>
    <row r="887" ht="62" customHeight="1"/>
    <row r="896" ht="62" customHeight="1"/>
    <row r="897" ht="62" customHeight="1"/>
    <row r="898" ht="62" customHeight="1"/>
    <row r="908" ht="62" customHeight="1"/>
    <row r="910" ht="62" customHeight="1"/>
    <row r="912" ht="80" customHeight="1"/>
    <row r="914" ht="98" customHeight="1"/>
    <row r="915" ht="62" customHeight="1"/>
    <row r="917" ht="98" customHeight="1"/>
    <row r="919" ht="80" customHeight="1"/>
    <row r="920" ht="62" customHeight="1"/>
    <row r="921" ht="80" customHeight="1"/>
    <row r="922" ht="98" customHeight="1"/>
    <row r="929" ht="62" customHeight="1"/>
    <row r="931" ht="80" customHeight="1"/>
    <row r="932" ht="116" customHeight="1"/>
    <row r="933" ht="98" customHeight="1"/>
    <row r="934" ht="62" customHeight="1"/>
    <row r="936" ht="62" customHeight="1"/>
    <row r="937" ht="62" customHeight="1"/>
    <row r="940" ht="62" customHeight="1"/>
    <row r="945" ht="98" customHeight="1"/>
    <row r="947" ht="80" customHeight="1"/>
    <row r="953" ht="62" customHeight="1"/>
    <row r="961" ht="80" customHeight="1"/>
    <row r="962" ht="98" customHeight="1"/>
    <row r="963" ht="62" customHeight="1"/>
    <row r="965" ht="62" customHeight="1"/>
    <row r="968" ht="62" customHeight="1"/>
    <row r="980" ht="116" customHeight="1"/>
    <row r="1000" ht="80" customHeight="1"/>
    <row r="1004" ht="62" customHeight="1"/>
    <row r="1005" ht="62" customHeight="1"/>
    <row r="1006" ht="80" customHeight="1"/>
    <row r="1011" ht="62" customHeight="1"/>
    <row r="1013" ht="62" customHeight="1"/>
    <row r="1014" ht="62" customHeight="1"/>
    <row r="1021" ht="80" customHeight="1"/>
    <row r="1024" ht="62" customHeight="1"/>
    <row r="1025" ht="62" customHeight="1"/>
    <row r="1026" ht="62" customHeight="1"/>
    <row r="1027" ht="134" customHeight="1"/>
    <row r="1028" ht="134" customHeight="1"/>
    <row r="1029" ht="116" customHeight="1"/>
    <row r="1036" ht="62" customHeight="1"/>
    <row r="1038" ht="62" customHeight="1"/>
    <row r="1039" ht="62" customHeight="1"/>
    <row r="1040" ht="62" customHeight="1"/>
    <row r="1041" ht="80" customHeight="1"/>
    <row r="1043" ht="62" customHeight="1"/>
    <row r="1044" ht="62" customHeight="1"/>
    <row r="1048" ht="98" customHeight="1"/>
    <row r="1052" ht="80" customHeight="1"/>
    <row r="1053" ht="62" customHeight="1"/>
    <row r="1054" ht="80" customHeight="1"/>
    <row r="1058" ht="62" customHeight="1"/>
    <row r="1063" ht="62" customHeight="1"/>
    <row r="1066" ht="62" customHeight="1"/>
    <row r="1079" ht="62" customHeight="1"/>
    <row r="1092" ht="80" customHeight="1"/>
    <row r="1093" ht="62" customHeight="1"/>
    <row r="1101" ht="62" customHeight="1"/>
    <row r="1103" ht="80" customHeight="1"/>
    <row r="1115" ht="98" customHeight="1"/>
    <row r="1117" ht="116" customHeight="1"/>
    <row r="1118" ht="80" customHeight="1"/>
    <row r="1119" ht="98" customHeight="1"/>
    <row r="1121" ht="98" customHeight="1"/>
    <row r="1135" ht="62" customHeight="1"/>
    <row r="1140" ht="62" customHeight="1"/>
    <row r="1144" ht="80" customHeight="1"/>
    <row r="1145" ht="98" customHeight="1"/>
    <row r="1146" ht="80" customHeight="1"/>
    <row r="1153" ht="62" customHeight="1"/>
    <row r="1155" ht="62" customHeight="1"/>
    <row r="1156" ht="62" customHeight="1"/>
    <row r="1164" ht="62" customHeight="1"/>
    <row r="1169" ht="62" customHeight="1"/>
    <row r="1171" ht="62" customHeight="1"/>
    <row r="1172" ht="62" customHeight="1"/>
    <row r="1174" ht="62" customHeight="1"/>
    <row r="1177" ht="62" customHeight="1"/>
    <row r="1179" ht="62" customHeight="1"/>
    <row r="1180" ht="62" customHeight="1"/>
    <row r="1182" ht="62" customHeight="1"/>
    <row r="1185" ht="62" customHeight="1"/>
    <row r="1193" ht="62" customHeight="1"/>
    <row r="1195" ht="80" customHeight="1"/>
    <row r="1196" ht="80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Y6"/>
  <sheetViews>
    <sheetView showGridLines="0" workbookViewId="0">
      <pane xSplit="3" ySplit="5" topLeftCell="D6" activePane="bottomRight" state="frozen"/>
      <selection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22" customWidth="1" min="4" max="4"/>
    <col width="18" customWidth="1" min="5" max="5"/>
    <col width="16" customWidth="1" min="6" max="6"/>
    <col width="27" customWidth="1" min="7" max="7"/>
    <col width="13" customWidth="1" min="8" max="8"/>
    <col width="17" customWidth="1" min="9" max="9"/>
    <col width="19" customWidth="1" min="10" max="10"/>
    <col width="19" customWidth="1" min="11" max="11"/>
    <col width="21" customWidth="1" min="12" max="12"/>
    <col width="21" customWidth="1" min="13" max="13"/>
    <col width="17" customWidth="1" min="14" max="14"/>
    <col width="19" customWidth="1" min="15" max="15"/>
    <col width="20" customWidth="1" min="16" max="16"/>
    <col width="21" customWidth="1" min="17" max="17"/>
    <col width="21" customWidth="1" min="18" max="18"/>
    <col width="20" customWidth="1" min="19" max="19"/>
    <col width="21" customWidth="1" min="20" max="20"/>
    <col width="17" customWidth="1" min="21" max="21"/>
    <col width="16" customWidth="1" min="22" max="22"/>
    <col width="18" customWidth="1" min="23" max="23"/>
    <col width="19" customWidth="1" min="24" max="24"/>
    <col width="31" customWidth="1" min="25" max="25"/>
  </cols>
  <sheetData>
    <row r="2">
      <c r="A2" s="1" t="inlineStr">
        <is>
          <t>تفصيل الأصناف لكل سند</t>
        </is>
      </c>
    </row>
    <row r="3">
      <c r="A3" s="2" t="inlineStr">
        <is>
          <t>صف واحد لكل صنف مستلم؛ القيم المحسوبة قورنت بالسند والفاتورة والتعميد والعقد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</row>
    <row r="5" ht="58" customHeight="1">
      <c r="A5" s="8" t="inlineStr">
        <is>
          <t>رقم المنافسة</t>
        </is>
      </c>
      <c r="B5" s="8" t="inlineStr">
        <is>
          <t>رقم الدفعة</t>
        </is>
      </c>
      <c r="C5" s="8" t="inlineStr">
        <is>
          <t>رقم السند</t>
        </is>
      </c>
      <c r="D5" s="8" t="inlineStr">
        <is>
          <t>رقم التعميد</t>
        </is>
      </c>
      <c r="E5" s="8" t="inlineStr">
        <is>
          <t>رقم الفاتورة</t>
        </is>
      </c>
      <c r="F5" s="8" t="inlineStr">
        <is>
          <t>رقم الصنف</t>
        </is>
      </c>
      <c r="G5" s="8" t="inlineStr">
        <is>
          <t>وصف الصنف</t>
        </is>
      </c>
      <c r="H5" s="8" t="inlineStr">
        <is>
          <t>الوحدة</t>
        </is>
      </c>
      <c r="I5" s="8" t="inlineStr">
        <is>
          <t>العدد في السند</t>
        </is>
      </c>
      <c r="J5" s="8" t="inlineStr">
        <is>
          <t>سعر الوحدة في السند</t>
        </is>
      </c>
      <c r="K5" s="8" t="inlineStr">
        <is>
          <t>سعر الوحدة في العقد</t>
        </is>
      </c>
      <c r="L5" s="8" t="inlineStr">
        <is>
          <t>صافي الصنف المحسوب</t>
        </is>
      </c>
      <c r="M5" s="8" t="inlineStr">
        <is>
          <t>عمولة نوبكو المحسوبة</t>
        </is>
      </c>
      <c r="N5" s="8" t="inlineStr">
        <is>
          <t>نسبة الضريبة</t>
        </is>
      </c>
      <c r="O5" s="8" t="inlineStr">
        <is>
          <t>الضريبة المحسوبة</t>
        </is>
      </c>
      <c r="P5" s="8" t="inlineStr">
        <is>
          <t>إجمالي الصنف المحسوب</t>
        </is>
      </c>
      <c r="Q5" s="8" t="inlineStr">
        <is>
          <t>صافي الصنف في الفاتورة</t>
        </is>
      </c>
      <c r="R5" s="8" t="inlineStr">
        <is>
          <t>عمولة نوبكو في الفاتورة</t>
        </is>
      </c>
      <c r="S5" s="8" t="inlineStr">
        <is>
          <t>ضريبة الفاتورة</t>
        </is>
      </c>
      <c r="T5" s="8" t="inlineStr">
        <is>
          <t>إجمالي الصنف في الفاتورة</t>
        </is>
      </c>
      <c r="U5" s="8" t="inlineStr">
        <is>
          <t>تاريخ الصلاحية</t>
        </is>
      </c>
      <c r="V5" s="8" t="inlineStr">
        <is>
          <t>صفحة السند</t>
        </is>
      </c>
      <c r="W5" s="8" t="inlineStr">
        <is>
          <t>صفحات الفاتورة</t>
        </is>
      </c>
      <c r="X5" s="8" t="inlineStr">
        <is>
          <t>نتيجة المطابقة</t>
        </is>
      </c>
      <c r="Y5" s="8" t="inlineStr">
        <is>
          <t>ملف الربطة</t>
        </is>
      </c>
    </row>
    <row r="6">
      <c r="A6" s="9" t="inlineStr">
        <is>
          <t>MED-2026-339</t>
        </is>
      </c>
      <c r="B6" s="9" t="n">
        <v>1</v>
      </c>
      <c r="C6" s="9" t="inlineStr">
        <is>
          <t>STO0000005239</t>
        </is>
      </c>
      <c r="D6" s="9" t="inlineStr">
        <is>
          <t>PON0000000986</t>
        </is>
      </c>
      <c r="E6" s="9" t="inlineStr">
        <is>
          <t>5002602877</t>
        </is>
      </c>
      <c r="F6" s="9" t="inlineStr">
        <is>
          <t>WND-004</t>
        </is>
      </c>
      <c r="G6" s="9" t="inlineStr">
        <is>
          <t>شريط تثبيت جراحي</t>
        </is>
      </c>
      <c r="H6" s="9" t="inlineStr">
        <is>
          <t>BOX</t>
        </is>
      </c>
      <c r="I6" s="26" t="n">
        <v>2</v>
      </c>
      <c r="J6" s="28" t="n">
        <v>50</v>
      </c>
      <c r="K6" s="28" t="n">
        <v>50</v>
      </c>
      <c r="L6" s="28" t="n">
        <v>100</v>
      </c>
      <c r="M6" s="28" t="n">
        <v>4</v>
      </c>
      <c r="N6" s="29" t="n">
        <v>0.15</v>
      </c>
      <c r="O6" s="28" t="n">
        <v>15.6</v>
      </c>
      <c r="P6" s="28" t="n">
        <v>119.6</v>
      </c>
      <c r="Q6" s="28" t="n">
        <v>100</v>
      </c>
      <c r="R6" s="28" t="n">
        <v>4</v>
      </c>
      <c r="S6" s="28" t="n">
        <v>15.6</v>
      </c>
      <c r="T6" s="28" t="n">
        <v>119.6</v>
      </c>
      <c r="U6" s="27" t="n">
        <v>47579</v>
      </c>
      <c r="V6" s="9" t="n">
        <v>2</v>
      </c>
      <c r="W6" s="9" t="inlineStr">
        <is>
          <t>7</t>
        </is>
      </c>
      <c r="X6" s="9" t="inlineStr">
        <is>
          <t>مطابق</t>
        </is>
      </c>
      <c r="Y6" s="9" t="inlineStr">
        <is>
          <t>MED-2026-339-01-001.pdf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R6"/>
  <sheetViews>
    <sheetView showGridLines="0" workbookViewId="0">
      <pane xSplit="3" ySplit="5" topLeftCell="D6" activePane="bottomRight" state="frozen"/>
      <selection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7" customWidth="1" min="4" max="4"/>
    <col width="17" customWidth="1" min="5" max="5"/>
    <col width="17" customWidth="1" min="6" max="6"/>
    <col width="17" customWidth="1" min="7" max="7"/>
    <col width="19" customWidth="1" min="8" max="8"/>
    <col width="19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20" customWidth="1" min="18" max="18"/>
  </cols>
  <sheetData>
    <row r="2">
      <c r="A2" s="1" t="inlineStr">
        <is>
          <t>مطابقة التعاميد</t>
        </is>
      </c>
    </row>
    <row r="3">
      <c r="A3" s="2" t="inlineStr">
        <is>
          <t>كل تعميد مستقل طوبق مع مجموع سنداته وبنوده؛ التعميد المكرر داخل الربطات لم يحتسب مرة أخرى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</row>
    <row r="5" ht="54" customHeight="1">
      <c r="A5" s="8" t="inlineStr">
        <is>
          <t>رقم المنافسة</t>
        </is>
      </c>
      <c r="B5" s="8" t="inlineStr">
        <is>
          <t>رقم الدفعة</t>
        </is>
      </c>
      <c r="C5" s="8" t="inlineStr">
        <is>
          <t>رقم التعميد</t>
        </is>
      </c>
      <c r="D5" s="8" t="inlineStr">
        <is>
          <t>تاريخ التعميد</t>
        </is>
      </c>
      <c r="E5" s="8" t="inlineStr">
        <is>
          <t>موعد التوريد</t>
        </is>
      </c>
      <c r="F5" s="8" t="inlineStr">
        <is>
          <t>عدد أصناف التعميد</t>
        </is>
      </c>
      <c r="G5" s="8" t="inlineStr">
        <is>
          <t>عدد السندات</t>
        </is>
      </c>
      <c r="H5" s="8" t="inlineStr">
        <is>
          <t>الوحدات في التعميد</t>
        </is>
      </c>
      <c r="I5" s="8" t="inlineStr">
        <is>
          <t>الوحدات المستلمة</t>
        </is>
      </c>
      <c r="J5" s="8" t="inlineStr">
        <is>
          <t>صافي التعميد</t>
        </is>
      </c>
      <c r="K5" s="8" t="inlineStr">
        <is>
          <t>صافي السندات</t>
        </is>
      </c>
      <c r="L5" s="8" t="inlineStr">
        <is>
          <t>عمولة التعميد</t>
        </is>
      </c>
      <c r="M5" s="8" t="inlineStr">
        <is>
          <t>عمولة السندات</t>
        </is>
      </c>
      <c r="N5" s="8" t="inlineStr">
        <is>
          <t>ضريبة التعميد</t>
        </is>
      </c>
      <c r="O5" s="8" t="inlineStr">
        <is>
          <t>ضريبة السندات</t>
        </is>
      </c>
      <c r="P5" s="8" t="inlineStr">
        <is>
          <t>إجمالي التعميد</t>
        </is>
      </c>
      <c r="Q5" s="8" t="inlineStr">
        <is>
          <t>إجمالي السندات</t>
        </is>
      </c>
      <c r="R5" s="8" t="inlineStr">
        <is>
          <t>نتيجة المطابقة</t>
        </is>
      </c>
    </row>
    <row r="6">
      <c r="A6" s="9" t="inlineStr">
        <is>
          <t>MED-2026-339</t>
        </is>
      </c>
      <c r="B6" s="26" t="n">
        <v>1</v>
      </c>
      <c r="C6" s="9" t="inlineStr">
        <is>
          <t>PON0000000986</t>
        </is>
      </c>
      <c r="D6" s="27" t="n">
        <v>46297</v>
      </c>
      <c r="E6" s="27" t="n">
        <v>46310</v>
      </c>
      <c r="F6" s="26" t="n">
        <v>1</v>
      </c>
      <c r="G6" s="26" t="n">
        <v>6</v>
      </c>
      <c r="H6" s="26" t="n">
        <v>9</v>
      </c>
      <c r="I6" s="26" t="n">
        <v>9</v>
      </c>
      <c r="J6" s="28" t="n">
        <v>450</v>
      </c>
      <c r="K6" s="28" t="n">
        <v>450</v>
      </c>
      <c r="L6" s="28" t="n">
        <v>18</v>
      </c>
      <c r="M6" s="28" t="n">
        <v>18</v>
      </c>
      <c r="N6" s="28" t="n">
        <v>70.2</v>
      </c>
      <c r="O6" s="28" t="n">
        <v>70.19999999999999</v>
      </c>
      <c r="P6" s="28" t="n">
        <v>538.2</v>
      </c>
      <c r="Q6" s="28" t="n">
        <v>538.2</v>
      </c>
      <c r="R6" s="9" t="inlineStr">
        <is>
          <t>مطابق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M43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33" customWidth="1" min="2" max="2"/>
    <col width="23" customWidth="1" min="3" max="3"/>
    <col width="22" customWidth="1" min="4" max="4"/>
    <col width="24" customWidth="1" min="5" max="5"/>
    <col width="20" customWidth="1" min="6" max="6"/>
    <col width="20" customWidth="1" min="7" max="7"/>
    <col width="22" customWidth="1" min="8" max="8"/>
    <col width="22" customWidth="1" min="9" max="9"/>
    <col width="21" customWidth="1" min="10" max="10"/>
    <col width="21" customWidth="1" min="11" max="11"/>
    <col width="17" customWidth="1" min="12" max="12"/>
    <col width="20" customWidth="1" min="13" max="13"/>
  </cols>
  <sheetData>
    <row r="2">
      <c r="A2" s="1" t="inlineStr">
        <is>
          <t>تقرير المنافسة والأصناف</t>
        </is>
      </c>
    </row>
    <row r="3">
      <c r="A3" s="2" t="inlineStr">
        <is>
          <t>المنافسة MED-2026-339 | شركة رواسي التعافي الطبية | 6 دفعات | المصدر: عقد المنافسة.pdf والربطات والتعاميد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5" ht="38" customHeight="1">
      <c r="A5" s="8" t="inlineStr">
        <is>
          <t>البيان</t>
        </is>
      </c>
      <c r="B5" s="8" t="inlineStr">
        <is>
          <t>المبلغ المحسوب (ر.س)</t>
        </is>
      </c>
      <c r="C5" s="8" t="inlineStr">
        <is>
          <t>المبلغ في العقد (ر.س)</t>
        </is>
      </c>
      <c r="D5" s="8" t="inlineStr">
        <is>
          <t>الفرق (ر.س)</t>
        </is>
      </c>
      <c r="E5" s="8" t="inlineStr">
        <is>
          <t>نتيجة المطابقة</t>
        </is>
      </c>
    </row>
    <row r="6">
      <c r="A6" t="inlineStr">
        <is>
          <t>صافي مبلغ المنافسة</t>
        </is>
      </c>
      <c r="B6" s="30">
        <f>ROUND(SUM('تقرير السندات'!L6:L1199),2)</f>
        <v/>
      </c>
      <c r="C6" s="30" t="n">
        <v>996000</v>
      </c>
      <c r="D6" s="30">
        <f>ROUND(B6-C6,2)</f>
        <v/>
      </c>
      <c r="E6">
        <f>IF(D6=0,"مطابق","غير مطابق")</f>
        <v/>
      </c>
    </row>
    <row r="7">
      <c r="A7" t="inlineStr">
        <is>
          <t>إجمالي عمولة نوبكو</t>
        </is>
      </c>
      <c r="B7" s="30">
        <f>ROUND(SUM('تقرير السندات'!M6:M1199),2)</f>
        <v/>
      </c>
      <c r="C7" s="30" t="n">
        <v>39840</v>
      </c>
      <c r="D7" s="30">
        <f>ROUND(B7-C7,2)</f>
        <v/>
      </c>
      <c r="E7">
        <f>IF(D7=0,"مطابق","غير مطابق")</f>
        <v/>
      </c>
    </row>
    <row r="8">
      <c r="A8" t="inlineStr">
        <is>
          <t>إجمالي ضريبة القيمة المضافة</t>
        </is>
      </c>
      <c r="B8" s="30">
        <f>ROUND(SUM('تقرير السندات'!P6:P1199),2)</f>
        <v/>
      </c>
      <c r="C8" s="30" t="n">
        <v>96408</v>
      </c>
      <c r="D8" s="30">
        <f>ROUND(B8-C8,2)</f>
        <v/>
      </c>
      <c r="E8">
        <f>IF(D8=0,"مطابق","غير مطابق")</f>
        <v/>
      </c>
    </row>
    <row r="9">
      <c r="A9" t="inlineStr">
        <is>
          <t>الإجمالي بعد عمولة نوبكو والضريبة</t>
        </is>
      </c>
      <c r="B9" s="30">
        <f>ROUND(SUM('تقرير السندات'!V6:V1199),2)</f>
        <v/>
      </c>
      <c r="C9" s="30" t="n">
        <v>1132248</v>
      </c>
      <c r="D9" s="30">
        <f>ROUND(B9-C9,2)</f>
        <v/>
      </c>
      <c r="E9">
        <f>IF(D9=0,"مطابق","غير مطابق")</f>
        <v/>
      </c>
    </row>
    <row r="10">
      <c r="A10" t="inlineStr">
        <is>
          <t>إجمالي غرامات التأخير</t>
        </is>
      </c>
      <c r="B10" s="30">
        <f>ROUND(SUM('تقرير السندات'!R6:R1199),2)</f>
        <v/>
      </c>
      <c r="C10" s="30" t="n"/>
      <c r="D10" s="30" t="n"/>
      <c r="E10" t="inlineStr">
        <is>
          <t>لا توجد غرامة موثقة</t>
        </is>
      </c>
    </row>
    <row r="11">
      <c r="A11" t="inlineStr">
        <is>
          <t>إجمالي الغرامات الأخرى</t>
        </is>
      </c>
      <c r="B11" s="30">
        <f>ROUND(SUM('تقرير السندات'!T6:T1199),2)</f>
        <v/>
      </c>
      <c r="C11" s="30" t="n"/>
      <c r="D11" s="30" t="n"/>
      <c r="E11" t="inlineStr">
        <is>
          <t>لا توجد غرامة موثقة</t>
        </is>
      </c>
    </row>
    <row r="12">
      <c r="A12" s="16" t="inlineStr">
        <is>
          <t>إجمالي المبلغ المستحق</t>
        </is>
      </c>
      <c r="B12" s="31">
        <f>ROUND(SUM('تقرير السندات'!X6:X1199),2)</f>
        <v/>
      </c>
      <c r="C12" s="31" t="n">
        <v>1132248</v>
      </c>
      <c r="D12" s="31">
        <f>ROUND(B12-C12,2)</f>
        <v/>
      </c>
      <c r="E12" s="16">
        <f>IF(D12=0,"مطابق","غير مطابق")</f>
        <v/>
      </c>
    </row>
    <row r="14">
      <c r="A14" t="inlineStr">
        <is>
          <t>عدد السندات</t>
        </is>
      </c>
      <c r="B14" t="n">
        <v>1194</v>
      </c>
      <c r="C14" t="inlineStr">
        <is>
          <t>عدد الفواتير</t>
        </is>
      </c>
      <c r="D14" t="n">
        <v>635</v>
      </c>
    </row>
    <row r="15">
      <c r="A15" t="inlineStr">
        <is>
          <t>عدد التعاميد</t>
        </is>
      </c>
      <c r="B15" t="n">
        <v>208</v>
      </c>
      <c r="C15" t="inlineStr">
        <is>
          <t>الربطات المفحوصة</t>
        </is>
      </c>
      <c r="D15" t="n">
        <v>53</v>
      </c>
    </row>
    <row r="17">
      <c r="A17" t="inlineStr">
        <is>
          <t>الأصناف المستلمة - العدد الإجمالي</t>
        </is>
      </c>
      <c r="B17" s="32">
        <f>SUM(D20:D29)</f>
        <v/>
      </c>
      <c r="C17" s="32" t="inlineStr">
        <is>
          <t>الأصناف غير المستلمة - العدد الإجمالي</t>
        </is>
      </c>
      <c r="D17" s="32">
        <f>SUM(E20:E29)</f>
        <v/>
      </c>
    </row>
    <row r="19" ht="50" customHeight="1">
      <c r="A19" s="8" t="inlineStr">
        <is>
          <t>رقم الصنف</t>
        </is>
      </c>
      <c r="B19" s="8" t="inlineStr">
        <is>
          <t>وصف الصنف</t>
        </is>
      </c>
      <c r="C19" s="8" t="inlineStr">
        <is>
          <t>الكمية في العقد</t>
        </is>
      </c>
      <c r="D19" s="8" t="inlineStr">
        <is>
          <t>الكمية المستلمة</t>
        </is>
      </c>
      <c r="E19" s="8" t="inlineStr">
        <is>
          <t>الكمية غير المستلمة</t>
        </is>
      </c>
      <c r="F19" s="8" t="inlineStr">
        <is>
          <t>كمية زائدة</t>
        </is>
      </c>
      <c r="G19" s="8" t="inlineStr">
        <is>
          <t>سعر الوحدة</t>
        </is>
      </c>
      <c r="H19" s="8" t="inlineStr">
        <is>
          <t>صافي المستلم</t>
        </is>
      </c>
      <c r="I19" s="8" t="inlineStr">
        <is>
          <t>عمولة نوبكو</t>
        </is>
      </c>
      <c r="J19" s="8" t="inlineStr">
        <is>
          <t>ضريبة القيمة المضافة</t>
        </is>
      </c>
      <c r="K19" s="8" t="inlineStr">
        <is>
          <t>إجمالي المستلم</t>
        </is>
      </c>
      <c r="L19" s="8" t="inlineStr">
        <is>
          <t>نسبة الضريبة</t>
        </is>
      </c>
      <c r="M19" s="8" t="inlineStr">
        <is>
          <t>حالة الصنف</t>
        </is>
      </c>
    </row>
    <row r="20">
      <c r="A20" t="inlineStr">
        <is>
          <t>WND-001</t>
        </is>
      </c>
      <c r="B20" t="inlineStr">
        <is>
          <t>ضماد رغوي للجروح</t>
        </is>
      </c>
      <c r="C20" s="32" t="n">
        <v>6000</v>
      </c>
      <c r="D20" s="32">
        <f>SUMIF('تفصيل الأصناف'!$F$6:$F$2255,A20,'تفصيل الأصناف'!$I$6:$I$2255)</f>
        <v/>
      </c>
      <c r="E20" s="32">
        <f>MAX(C20-D20,0)</f>
        <v/>
      </c>
      <c r="F20" s="32">
        <f>MAX(D20-C20,0)</f>
        <v/>
      </c>
      <c r="G20" s="30" t="n">
        <v>40</v>
      </c>
      <c r="H20" s="30">
        <f>ROUND(SUMIF('تفصيل الأصناف'!$F$6:$F$2255,A20,'تفصيل الأصناف'!$L$6:$L$2255),2)</f>
        <v/>
      </c>
      <c r="I20" s="30">
        <f>ROUND(SUMIF('تفصيل الأصناف'!$F$6:$F$2255,A20,'تفصيل الأصناف'!$M$6:$M$2255),2)</f>
        <v/>
      </c>
      <c r="J20" s="30">
        <f>ROUND(SUMIF('تفصيل الأصناف'!$F$6:$F$2255,A20,'تفصيل الأصناف'!$O$6:$O$2255),2)</f>
        <v/>
      </c>
      <c r="K20" s="30">
        <f>ROUND(SUM(H20:J20),2)</f>
        <v/>
      </c>
      <c r="L20" s="33" t="n">
        <v>0.15</v>
      </c>
      <c r="M20">
        <f>IF(AND(C20=D20,E20=0,F20=0),"مكتمل","غير مكتمل")</f>
        <v/>
      </c>
    </row>
    <row r="21">
      <c r="A21" t="inlineStr">
        <is>
          <t>WND-002</t>
        </is>
      </c>
      <c r="B21" t="inlineStr">
        <is>
          <t>ضماد هيدروكولويد</t>
        </is>
      </c>
      <c r="C21" s="32" t="n">
        <v>6000</v>
      </c>
      <c r="D21" s="32">
        <f>SUMIF('تفصيل الأصناف'!$F$6:$F$2255,A21,'تفصيل الأصناف'!$I$6:$I$2255)</f>
        <v/>
      </c>
      <c r="E21" s="32">
        <f>MAX(C21-D21,0)</f>
        <v/>
      </c>
      <c r="F21" s="32">
        <f>MAX(D21-C21,0)</f>
        <v/>
      </c>
      <c r="G21" s="30" t="n">
        <v>30</v>
      </c>
      <c r="H21" s="30">
        <f>ROUND(SUMIF('تفصيل الأصناف'!$F$6:$F$2255,A21,'تفصيل الأصناف'!$L$6:$L$2255),2)</f>
        <v/>
      </c>
      <c r="I21" s="30">
        <f>ROUND(SUMIF('تفصيل الأصناف'!$F$6:$F$2255,A21,'تفصيل الأصناف'!$M$6:$M$2255),2)</f>
        <v/>
      </c>
      <c r="J21" s="30">
        <f>ROUND(SUMIF('تفصيل الأصناف'!$F$6:$F$2255,A21,'تفصيل الأصناف'!$O$6:$O$2255),2)</f>
        <v/>
      </c>
      <c r="K21" s="30">
        <f>ROUND(SUM(H21:J21),2)</f>
        <v/>
      </c>
      <c r="L21" s="33" t="n">
        <v>0.15</v>
      </c>
      <c r="M21">
        <f>IF(AND(C21=D21,E21=0,F21=0),"مكتمل","غير مكتمل")</f>
        <v/>
      </c>
    </row>
    <row r="22">
      <c r="A22" t="inlineStr">
        <is>
          <t>WND-003</t>
        </is>
      </c>
      <c r="B22" t="inlineStr">
        <is>
          <t>ضماد معقم غير لاصق</t>
        </is>
      </c>
      <c r="C22" s="32" t="n">
        <v>3000</v>
      </c>
      <c r="D22" s="32">
        <f>SUMIF('تفصيل الأصناف'!$F$6:$F$2255,A22,'تفصيل الأصناف'!$I$6:$I$2255)</f>
        <v/>
      </c>
      <c r="E22" s="32">
        <f>MAX(C22-D22,0)</f>
        <v/>
      </c>
      <c r="F22" s="32">
        <f>MAX(D22-C22,0)</f>
        <v/>
      </c>
      <c r="G22" s="30" t="n">
        <v>50</v>
      </c>
      <c r="H22" s="30">
        <f>ROUND(SUMIF('تفصيل الأصناف'!$F$6:$F$2255,A22,'تفصيل الأصناف'!$L$6:$L$2255),2)</f>
        <v/>
      </c>
      <c r="I22" s="30">
        <f>ROUND(SUMIF('تفصيل الأصناف'!$F$6:$F$2255,A22,'تفصيل الأصناف'!$M$6:$M$2255),2)</f>
        <v/>
      </c>
      <c r="J22" s="30">
        <f>ROUND(SUMIF('تفصيل الأصناف'!$F$6:$F$2255,A22,'تفصيل الأصناف'!$O$6:$O$2255),2)</f>
        <v/>
      </c>
      <c r="K22" s="30">
        <f>ROUND(SUM(H22:J22),2)</f>
        <v/>
      </c>
      <c r="L22" s="33" t="n">
        <v>0</v>
      </c>
      <c r="M22">
        <f>IF(AND(C22=D22,E22=0,F22=0),"مكتمل","غير مكتمل")</f>
        <v/>
      </c>
    </row>
    <row r="23">
      <c r="A23" t="inlineStr">
        <is>
          <t>WND-004</t>
        </is>
      </c>
      <c r="B23" t="inlineStr">
        <is>
          <t>شريط تثبيت جراحي</t>
        </is>
      </c>
      <c r="C23" s="32" t="n">
        <v>2400</v>
      </c>
      <c r="D23" s="32">
        <f>SUMIF('تفصيل الأصناف'!$F$6:$F$2255,A23,'تفصيل الأصناف'!$I$6:$I$2255)</f>
        <v/>
      </c>
      <c r="E23" s="32">
        <f>MAX(C23-D23,0)</f>
        <v/>
      </c>
      <c r="F23" s="32">
        <f>MAX(D23-C23,0)</f>
        <v/>
      </c>
      <c r="G23" s="30" t="n">
        <v>50</v>
      </c>
      <c r="H23" s="30">
        <f>ROUND(SUMIF('تفصيل الأصناف'!$F$6:$F$2255,A23,'تفصيل الأصناف'!$L$6:$L$2255),2)</f>
        <v/>
      </c>
      <c r="I23" s="30">
        <f>ROUND(SUMIF('تفصيل الأصناف'!$F$6:$F$2255,A23,'تفصيل الأصناف'!$M$6:$M$2255),2)</f>
        <v/>
      </c>
      <c r="J23" s="30">
        <f>ROUND(SUMIF('تفصيل الأصناف'!$F$6:$F$2255,A23,'تفصيل الأصناف'!$O$6:$O$2255),2)</f>
        <v/>
      </c>
      <c r="K23" s="30">
        <f>ROUND(SUM(H23:J23),2)</f>
        <v/>
      </c>
      <c r="L23" s="33" t="n">
        <v>0.15</v>
      </c>
      <c r="M23">
        <f>IF(AND(C23=D23,E23=0,F23=0),"مكتمل","غير مكتمل")</f>
        <v/>
      </c>
    </row>
    <row r="24">
      <c r="A24" t="inlineStr">
        <is>
          <t>WND-005</t>
        </is>
      </c>
      <c r="B24" t="inlineStr">
        <is>
          <t>طقم تنظيف جروح</t>
        </is>
      </c>
      <c r="C24" s="32" t="n">
        <v>1800</v>
      </c>
      <c r="D24" s="32">
        <f>SUMIF('تفصيل الأصناف'!$F$6:$F$2255,A24,'تفصيل الأصناف'!$I$6:$I$2255)</f>
        <v/>
      </c>
      <c r="E24" s="32">
        <f>MAX(C24-D24,0)</f>
        <v/>
      </c>
      <c r="F24" s="32">
        <f>MAX(D24-C24,0)</f>
        <v/>
      </c>
      <c r="G24" s="30" t="n">
        <v>50</v>
      </c>
      <c r="H24" s="30">
        <f>ROUND(SUMIF('تفصيل الأصناف'!$F$6:$F$2255,A24,'تفصيل الأصناف'!$L$6:$L$2255),2)</f>
        <v/>
      </c>
      <c r="I24" s="30">
        <f>ROUND(SUMIF('تفصيل الأصناف'!$F$6:$F$2255,A24,'تفصيل الأصناف'!$M$6:$M$2255),2)</f>
        <v/>
      </c>
      <c r="J24" s="30">
        <f>ROUND(SUMIF('تفصيل الأصناف'!$F$6:$F$2255,A24,'تفصيل الأصناف'!$O$6:$O$2255),2)</f>
        <v/>
      </c>
      <c r="K24" s="30">
        <f>ROUND(SUM(H24:J24),2)</f>
        <v/>
      </c>
      <c r="L24" s="33" t="n">
        <v>0</v>
      </c>
      <c r="M24">
        <f>IF(AND(C24=D24,E24=0,F24=0),"مكتمل","غير مكتمل")</f>
        <v/>
      </c>
    </row>
    <row r="25">
      <c r="A25" t="inlineStr">
        <is>
          <t>WND-006</t>
        </is>
      </c>
      <c r="B25" t="inlineStr">
        <is>
          <t>محلول تنظيف افتراضي</t>
        </is>
      </c>
      <c r="C25" s="32" t="n">
        <v>1200</v>
      </c>
      <c r="D25" s="32">
        <f>SUMIF('تفصيل الأصناف'!$F$6:$F$2255,A25,'تفصيل الأصناف'!$I$6:$I$2255)</f>
        <v/>
      </c>
      <c r="E25" s="32">
        <f>MAX(C25-D25,0)</f>
        <v/>
      </c>
      <c r="F25" s="32">
        <f>MAX(D25-C25,0)</f>
        <v/>
      </c>
      <c r="G25" s="30" t="n">
        <v>50</v>
      </c>
      <c r="H25" s="30">
        <f>ROUND(SUMIF('تفصيل الأصناف'!$F$6:$F$2255,A25,'تفصيل الأصناف'!$L$6:$L$2255),2)</f>
        <v/>
      </c>
      <c r="I25" s="30">
        <f>ROUND(SUMIF('تفصيل الأصناف'!$F$6:$F$2255,A25,'تفصيل الأصناف'!$M$6:$M$2255),2)</f>
        <v/>
      </c>
      <c r="J25" s="30">
        <f>ROUND(SUMIF('تفصيل الأصناف'!$F$6:$F$2255,A25,'تفصيل الأصناف'!$O$6:$O$2255),2)</f>
        <v/>
      </c>
      <c r="K25" s="30">
        <f>ROUND(SUM(H25:J25),2)</f>
        <v/>
      </c>
      <c r="L25" s="33" t="n">
        <v>0</v>
      </c>
      <c r="M25">
        <f>IF(AND(C25=D25,E25=0,F25=0),"مكتمل","غير مكتمل")</f>
        <v/>
      </c>
    </row>
    <row r="26">
      <c r="A26" t="inlineStr">
        <is>
          <t>WND-007</t>
        </is>
      </c>
      <c r="B26" t="inlineStr">
        <is>
          <t>شاش جراحي معقم</t>
        </is>
      </c>
      <c r="C26" s="32" t="n">
        <v>2400</v>
      </c>
      <c r="D26" s="32">
        <f>SUMIF('تفصيل الأصناف'!$F$6:$F$2255,A26,'تفصيل الأصناف'!$I$6:$I$2255)</f>
        <v/>
      </c>
      <c r="E26" s="32">
        <f>MAX(C26-D26,0)</f>
        <v/>
      </c>
      <c r="F26" s="32">
        <f>MAX(D26-C26,0)</f>
        <v/>
      </c>
      <c r="G26" s="30" t="n">
        <v>20</v>
      </c>
      <c r="H26" s="30">
        <f>ROUND(SUMIF('تفصيل الأصناف'!$F$6:$F$2255,A26,'تفصيل الأصناف'!$L$6:$L$2255),2)</f>
        <v/>
      </c>
      <c r="I26" s="30">
        <f>ROUND(SUMIF('تفصيل الأصناف'!$F$6:$F$2255,A26,'تفصيل الأصناف'!$M$6:$M$2255),2)</f>
        <v/>
      </c>
      <c r="J26" s="30">
        <f>ROUND(SUMIF('تفصيل الأصناف'!$F$6:$F$2255,A26,'تفصيل الأصناف'!$O$6:$O$2255),2)</f>
        <v/>
      </c>
      <c r="K26" s="30">
        <f>ROUND(SUM(H26:J26),2)</f>
        <v/>
      </c>
      <c r="L26" s="33" t="n">
        <v>0.15</v>
      </c>
      <c r="M26">
        <f>IF(AND(C26=D26,E26=0,F26=0),"مكتمل","غير مكتمل")</f>
        <v/>
      </c>
    </row>
    <row r="27">
      <c r="A27" t="inlineStr">
        <is>
          <t>WND-008</t>
        </is>
      </c>
      <c r="B27" t="inlineStr">
        <is>
          <t>رباط ضاغط طبي</t>
        </is>
      </c>
      <c r="C27" s="32" t="n">
        <v>1200</v>
      </c>
      <c r="D27" s="32">
        <f>SUMIF('تفصيل الأصناف'!$F$6:$F$2255,A27,'تفصيل الأصناف'!$I$6:$I$2255)</f>
        <v/>
      </c>
      <c r="E27" s="32">
        <f>MAX(C27-D27,0)</f>
        <v/>
      </c>
      <c r="F27" s="32">
        <f>MAX(D27-C27,0)</f>
        <v/>
      </c>
      <c r="G27" s="30" t="n">
        <v>35</v>
      </c>
      <c r="H27" s="30">
        <f>ROUND(SUMIF('تفصيل الأصناف'!$F$6:$F$2255,A27,'تفصيل الأصناف'!$L$6:$L$2255),2)</f>
        <v/>
      </c>
      <c r="I27" s="30">
        <f>ROUND(SUMIF('تفصيل الأصناف'!$F$6:$F$2255,A27,'تفصيل الأصناف'!$M$6:$M$2255),2)</f>
        <v/>
      </c>
      <c r="J27" s="30">
        <f>ROUND(SUMIF('تفصيل الأصناف'!$F$6:$F$2255,A27,'تفصيل الأصناف'!$O$6:$O$2255),2)</f>
        <v/>
      </c>
      <c r="K27" s="30">
        <f>ROUND(SUM(H27:J27),2)</f>
        <v/>
      </c>
      <c r="L27" s="33" t="n">
        <v>0</v>
      </c>
      <c r="M27">
        <f>IF(AND(C27=D27,E27=0,F27=0),"مكتمل","غير مكتمل")</f>
        <v/>
      </c>
    </row>
    <row r="28">
      <c r="A28" t="inlineStr">
        <is>
          <t>WND-009</t>
        </is>
      </c>
      <c r="B28" t="inlineStr">
        <is>
          <t>غطاء حماية للضماد</t>
        </is>
      </c>
      <c r="C28" s="32" t="n">
        <v>1800</v>
      </c>
      <c r="D28" s="32">
        <f>SUMIF('تفصيل الأصناف'!$F$6:$F$2255,A28,'تفصيل الأصناف'!$I$6:$I$2255)</f>
        <v/>
      </c>
      <c r="E28" s="32">
        <f>MAX(C28-D28,0)</f>
        <v/>
      </c>
      <c r="F28" s="32">
        <f>MAX(D28-C28,0)</f>
        <v/>
      </c>
      <c r="G28" s="30" t="n">
        <v>20</v>
      </c>
      <c r="H28" s="30">
        <f>ROUND(SUMIF('تفصيل الأصناف'!$F$6:$F$2255,A28,'تفصيل الأصناف'!$L$6:$L$2255),2)</f>
        <v/>
      </c>
      <c r="I28" s="30">
        <f>ROUND(SUMIF('تفصيل الأصناف'!$F$6:$F$2255,A28,'تفصيل الأصناف'!$M$6:$M$2255),2)</f>
        <v/>
      </c>
      <c r="J28" s="30">
        <f>ROUND(SUMIF('تفصيل الأصناف'!$F$6:$F$2255,A28,'تفصيل الأصناف'!$O$6:$O$2255),2)</f>
        <v/>
      </c>
      <c r="K28" s="30">
        <f>ROUND(SUM(H28:J28),2)</f>
        <v/>
      </c>
      <c r="L28" s="33" t="n">
        <v>0</v>
      </c>
      <c r="M28">
        <f>IF(AND(C28=D28,E28=0,F28=0),"مكتمل","غير مكتمل")</f>
        <v/>
      </c>
    </row>
    <row r="29">
      <c r="A29" t="inlineStr">
        <is>
          <t>WND-010</t>
        </is>
      </c>
      <c r="B29" t="inlineStr">
        <is>
          <t>مقص ضماد طبي</t>
        </is>
      </c>
      <c r="C29" s="32" t="n">
        <v>600</v>
      </c>
      <c r="D29" s="32">
        <f>SUMIF('تفصيل الأصناف'!$F$6:$F$2255,A29,'تفصيل الأصناف'!$I$6:$I$2255)</f>
        <v/>
      </c>
      <c r="E29" s="32">
        <f>MAX(C29-D29,0)</f>
        <v/>
      </c>
      <c r="F29" s="32">
        <f>MAX(D29-C29,0)</f>
        <v/>
      </c>
      <c r="G29" s="30" t="n">
        <v>50</v>
      </c>
      <c r="H29" s="30">
        <f>ROUND(SUMIF('تفصيل الأصناف'!$F$6:$F$2255,A29,'تفصيل الأصناف'!$L$6:$L$2255),2)</f>
        <v/>
      </c>
      <c r="I29" s="30">
        <f>ROUND(SUMIF('تفصيل الأصناف'!$F$6:$F$2255,A29,'تفصيل الأصناف'!$M$6:$M$2255),2)</f>
        <v/>
      </c>
      <c r="J29" s="30">
        <f>ROUND(SUMIF('تفصيل الأصناف'!$F$6:$F$2255,A29,'تفصيل الأصناف'!$O$6:$O$2255),2)</f>
        <v/>
      </c>
      <c r="K29" s="30">
        <f>ROUND(SUM(H29:J29),2)</f>
        <v/>
      </c>
      <c r="L29" s="33" t="n">
        <v>0.15</v>
      </c>
      <c r="M29">
        <f>IF(AND(C29=D29,E29=0,F29=0),"مكتمل","غير مكتمل")</f>
        <v/>
      </c>
    </row>
    <row r="30">
      <c r="A30" s="20" t="inlineStr">
        <is>
          <t>الإجمالي</t>
        </is>
      </c>
      <c r="B30" s="20" t="n"/>
      <c r="C30" s="34">
        <f>SUM(C20:C29)</f>
        <v/>
      </c>
      <c r="D30" s="34">
        <f>SUM(D20:D29)</f>
        <v/>
      </c>
      <c r="E30" s="34">
        <f>SUM(E20:E29)</f>
        <v/>
      </c>
      <c r="F30" s="34">
        <f>SUM(F20:F29)</f>
        <v/>
      </c>
      <c r="G30" s="35" t="n"/>
      <c r="H30" s="35">
        <f>ROUND(SUM(H20:H29),2)</f>
        <v/>
      </c>
      <c r="I30" s="35">
        <f>ROUND(SUM(I20:I29),2)</f>
        <v/>
      </c>
      <c r="J30" s="35">
        <f>ROUND(SUM(J20:J29),2)</f>
        <v/>
      </c>
      <c r="K30" s="35">
        <f>ROUND(SUM(K20:K29),2)</f>
        <v/>
      </c>
      <c r="L30" s="20" t="n"/>
      <c r="M30" s="20" t="n"/>
    </row>
    <row r="33" ht="48" customHeight="1">
      <c r="A33" s="8" t="inlineStr">
        <is>
          <t>رقم الدفعة</t>
        </is>
      </c>
      <c r="B33" s="8" t="inlineStr">
        <is>
          <t>عدد السندات</t>
        </is>
      </c>
      <c r="C33" s="8" t="inlineStr">
        <is>
          <t>الصافي</t>
        </is>
      </c>
      <c r="D33" s="8" t="inlineStr">
        <is>
          <t>عمولة نوبكو</t>
        </is>
      </c>
      <c r="E33" s="8" t="inlineStr">
        <is>
          <t>الضريبة</t>
        </is>
      </c>
      <c r="F33" s="8" t="inlineStr">
        <is>
          <t>الإجمالي</t>
        </is>
      </c>
      <c r="G33" s="8" t="inlineStr">
        <is>
          <t>إجمالي الدفعة في العقد</t>
        </is>
      </c>
      <c r="H33" s="8" t="inlineStr">
        <is>
          <t>الفرق</t>
        </is>
      </c>
      <c r="I33" s="8" t="inlineStr">
        <is>
          <t>نتيجة المطابقة</t>
        </is>
      </c>
    </row>
    <row r="34">
      <c r="A34" t="n">
        <v>1</v>
      </c>
      <c r="B34">
        <f>COUNTIF('تقرير السندات'!$B$6:$B$1199,A34)</f>
        <v/>
      </c>
      <c r="C34" s="30">
        <f>ROUND(SUMIF('تقرير السندات'!$B$6:$B$1199,A34,'تقرير السندات'!$L$6:$L$1199),2)</f>
        <v/>
      </c>
      <c r="D34" s="30">
        <f>ROUND(SUMIF('تقرير السندات'!$B$6:$B$1199,A34,'تقرير السندات'!$M$6:$M$1199),2)</f>
        <v/>
      </c>
      <c r="E34" s="30">
        <f>ROUND(SUMIF('تقرير السندات'!$B$6:$B$1199,A34,'تقرير السندات'!$P$6:$P$1199),2)</f>
        <v/>
      </c>
      <c r="F34" s="30">
        <f>ROUND(SUMIF('تقرير السندات'!$B$6:$B$1199,A34,'تقرير السندات'!$V$6:$V$1199),2)</f>
        <v/>
      </c>
      <c r="G34" s="30" t="n">
        <v>188708</v>
      </c>
      <c r="H34" s="30">
        <f>ROUND(F34-G34,2)</f>
        <v/>
      </c>
      <c r="I34">
        <f>IF(H34=0,"مطابق","غير مطابق")</f>
        <v/>
      </c>
    </row>
    <row r="35">
      <c r="A35" t="n">
        <v>2</v>
      </c>
      <c r="B35">
        <f>COUNTIF('تقرير السندات'!$B$6:$B$1199,A35)</f>
        <v/>
      </c>
      <c r="C35" s="30">
        <f>ROUND(SUMIF('تقرير السندات'!$B$6:$B$1199,A35,'تقرير السندات'!$L$6:$L$1199),2)</f>
        <v/>
      </c>
      <c r="D35" s="30">
        <f>ROUND(SUMIF('تقرير السندات'!$B$6:$B$1199,A35,'تقرير السندات'!$M$6:$M$1199),2)</f>
        <v/>
      </c>
      <c r="E35" s="30">
        <f>ROUND(SUMIF('تقرير السندات'!$B$6:$B$1199,A35,'تقرير السندات'!$P$6:$P$1199),2)</f>
        <v/>
      </c>
      <c r="F35" s="30">
        <f>ROUND(SUMIF('تقرير السندات'!$B$6:$B$1199,A35,'تقرير السندات'!$V$6:$V$1199),2)</f>
        <v/>
      </c>
      <c r="G35" s="30" t="n">
        <v>188708</v>
      </c>
      <c r="H35" s="30">
        <f>ROUND(F35-G35,2)</f>
        <v/>
      </c>
      <c r="I35">
        <f>IF(H35=0,"مطابق","غير مطابق")</f>
        <v/>
      </c>
    </row>
    <row r="36">
      <c r="A36" t="n">
        <v>3</v>
      </c>
      <c r="B36">
        <f>COUNTIF('تقرير السندات'!$B$6:$B$1199,A36)</f>
        <v/>
      </c>
      <c r="C36" s="30">
        <f>ROUND(SUMIF('تقرير السندات'!$B$6:$B$1199,A36,'تقرير السندات'!$L$6:$L$1199),2)</f>
        <v/>
      </c>
      <c r="D36" s="30">
        <f>ROUND(SUMIF('تقرير السندات'!$B$6:$B$1199,A36,'تقرير السندات'!$M$6:$M$1199),2)</f>
        <v/>
      </c>
      <c r="E36" s="30">
        <f>ROUND(SUMIF('تقرير السندات'!$B$6:$B$1199,A36,'تقرير السندات'!$P$6:$P$1199),2)</f>
        <v/>
      </c>
      <c r="F36" s="30">
        <f>ROUND(SUMIF('تقرير السندات'!$B$6:$B$1199,A36,'تقرير السندات'!$V$6:$V$1199),2)</f>
        <v/>
      </c>
      <c r="G36" s="30" t="n">
        <v>188708</v>
      </c>
      <c r="H36" s="30">
        <f>ROUND(F36-G36,2)</f>
        <v/>
      </c>
      <c r="I36">
        <f>IF(H36=0,"مطابق","غير مطابق")</f>
        <v/>
      </c>
    </row>
    <row r="37">
      <c r="A37" t="n">
        <v>4</v>
      </c>
      <c r="B37">
        <f>COUNTIF('تقرير السندات'!$B$6:$B$1199,A37)</f>
        <v/>
      </c>
      <c r="C37" s="30">
        <f>ROUND(SUMIF('تقرير السندات'!$B$6:$B$1199,A37,'تقرير السندات'!$L$6:$L$1199),2)</f>
        <v/>
      </c>
      <c r="D37" s="30">
        <f>ROUND(SUMIF('تقرير السندات'!$B$6:$B$1199,A37,'تقرير السندات'!$M$6:$M$1199),2)</f>
        <v/>
      </c>
      <c r="E37" s="30">
        <f>ROUND(SUMIF('تقرير السندات'!$B$6:$B$1199,A37,'تقرير السندات'!$P$6:$P$1199),2)</f>
        <v/>
      </c>
      <c r="F37" s="30">
        <f>ROUND(SUMIF('تقرير السندات'!$B$6:$B$1199,A37,'تقرير السندات'!$V$6:$V$1199),2)</f>
        <v/>
      </c>
      <c r="G37" s="30" t="n">
        <v>188708</v>
      </c>
      <c r="H37" s="30">
        <f>ROUND(F37-G37,2)</f>
        <v/>
      </c>
      <c r="I37">
        <f>IF(H37=0,"مطابق","غير مطابق")</f>
        <v/>
      </c>
    </row>
    <row r="38">
      <c r="A38" t="n">
        <v>5</v>
      </c>
      <c r="B38">
        <f>COUNTIF('تقرير السندات'!$B$6:$B$1199,A38)</f>
        <v/>
      </c>
      <c r="C38" s="30">
        <f>ROUND(SUMIF('تقرير السندات'!$B$6:$B$1199,A38,'تقرير السندات'!$L$6:$L$1199),2)</f>
        <v/>
      </c>
      <c r="D38" s="30">
        <f>ROUND(SUMIF('تقرير السندات'!$B$6:$B$1199,A38,'تقرير السندات'!$M$6:$M$1199),2)</f>
        <v/>
      </c>
      <c r="E38" s="30">
        <f>ROUND(SUMIF('تقرير السندات'!$B$6:$B$1199,A38,'تقرير السندات'!$P$6:$P$1199),2)</f>
        <v/>
      </c>
      <c r="F38" s="30">
        <f>ROUND(SUMIF('تقرير السندات'!$B$6:$B$1199,A38,'تقرير السندات'!$V$6:$V$1199),2)</f>
        <v/>
      </c>
      <c r="G38" s="30" t="n">
        <v>188708</v>
      </c>
      <c r="H38" s="30">
        <f>ROUND(F38-G38,2)</f>
        <v/>
      </c>
      <c r="I38">
        <f>IF(H38=0,"مطابق","غير مطابق")</f>
        <v/>
      </c>
    </row>
    <row r="39">
      <c r="A39" t="n">
        <v>6</v>
      </c>
      <c r="B39">
        <f>COUNTIF('تقرير السندات'!$B$6:$B$1199,A39)</f>
        <v/>
      </c>
      <c r="C39" s="30">
        <f>ROUND(SUMIF('تقرير السندات'!$B$6:$B$1199,A39,'تقرير السندات'!$L$6:$L$1199),2)</f>
        <v/>
      </c>
      <c r="D39" s="30">
        <f>ROUND(SUMIF('تقرير السندات'!$B$6:$B$1199,A39,'تقرير السندات'!$M$6:$M$1199),2)</f>
        <v/>
      </c>
      <c r="E39" s="30">
        <f>ROUND(SUMIF('تقرير السندات'!$B$6:$B$1199,A39,'تقرير السندات'!$P$6:$P$1199),2)</f>
        <v/>
      </c>
      <c r="F39" s="30">
        <f>ROUND(SUMIF('تقرير السندات'!$B$6:$B$1199,A39,'تقرير السندات'!$V$6:$V$1199),2)</f>
        <v/>
      </c>
      <c r="G39" s="30" t="n">
        <v>188708</v>
      </c>
      <c r="H39" s="30">
        <f>ROUND(F39-G39,2)</f>
        <v/>
      </c>
      <c r="I39">
        <f>IF(H39=0,"مطابق","غير مطابق")</f>
        <v/>
      </c>
    </row>
    <row r="40">
      <c r="A40" s="20" t="inlineStr">
        <is>
          <t>إجمالي الدفعات</t>
        </is>
      </c>
      <c r="B40" s="20">
        <f>SUM(B34:B39)</f>
        <v/>
      </c>
      <c r="C40" s="35">
        <f>ROUND(SUM(C34:C39),2)</f>
        <v/>
      </c>
      <c r="D40" s="35">
        <f>ROUND(SUM(D34:D39),2)</f>
        <v/>
      </c>
      <c r="E40" s="35">
        <f>ROUND(SUM(E34:E39),2)</f>
        <v/>
      </c>
      <c r="F40" s="35">
        <f>ROUND(SUM(F34:F39),2)</f>
        <v/>
      </c>
      <c r="G40" s="35">
        <f>ROUND(SUM(G34:G39),2)</f>
        <v/>
      </c>
      <c r="H40" s="35">
        <f>ROUND(SUM(H34:H39),2)</f>
        <v/>
      </c>
      <c r="I40" s="20" t="n"/>
    </row>
    <row r="42">
      <c r="A42" t="inlineStr">
        <is>
          <t>حالة إقفال المنافسة</t>
        </is>
      </c>
      <c r="B42" s="24">
        <f>IF(AND(D6=0,D7=0,D8=0,D9=0,D12=0,E30=0,F30=0,H40=0,COUNTIF('تقرير السندات'!Y6:Y1199,"غير سليم محاسبياً")=0),"مقفل حسابياً","يتطلب مراجعة")</f>
        <v/>
      </c>
    </row>
    <row r="43" ht="34" customHeight="1">
      <c r="A43" t="inlineStr">
        <is>
          <t>ملاحظة</t>
        </is>
      </c>
      <c r="B43" s="25" t="inlineStr">
        <is>
          <t>بيانات تدريبية غير موقعة؛ الحكم على اتساق الملفات المقدمة.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2026-10-15T22:48:38Z</dcterms:created>
  <dcterms:modified xsi:type="dcterms:W3CDTF">2026-10-15T22:48:39Z</dcterms:modified>
</cp:coreProperties>
</file>