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تقرير السندات" sheetId="1" state="visible" r:id="rId1"/>
    <sheet name="الأصناف" sheetId="2" state="visible" r:id="rId2"/>
    <sheet name="المطابقة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Arial"/>
      <color rgb="FF17212F"/>
      <sz val="10"/>
    </font>
    <font>
      <name val="Arial"/>
      <b val="1"/>
      <color rgb="FF17365D"/>
      <sz val="15"/>
    </font>
    <font>
      <name val="Arial"/>
      <i val="1"/>
      <color rgb="FF5B6778"/>
      <sz val="10"/>
    </font>
    <font>
      <name val="Arial"/>
      <b val="1"/>
      <color rgb="FFFFFFFF"/>
      <sz val="10"/>
    </font>
    <font>
      <name val="Arial"/>
      <color rgb="FF274B37"/>
      <sz val="10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right" vertical="center"/>
    </xf>
    <xf numFmtId="9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1" fillId="3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9" fontId="1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1:V6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23" customWidth="1" min="1" max="1"/>
    <col width="15" customWidth="1" min="2" max="2"/>
    <col width="20" customWidth="1" min="3" max="3"/>
    <col width="15" customWidth="1" min="4" max="4"/>
    <col width="22" customWidth="1" min="5" max="5"/>
    <col width="18" customWidth="1" min="6" max="6"/>
    <col width="19" customWidth="1" min="7" max="7"/>
    <col width="21" customWidth="1" min="8" max="8"/>
    <col width="16" customWidth="1" min="9" max="9"/>
    <col width="17" customWidth="1" min="10" max="10"/>
    <col width="24" customWidth="1" min="11" max="11"/>
    <col width="20" customWidth="1" min="12" max="12"/>
    <col width="16" customWidth="1" min="13" max="13"/>
    <col width="20" customWidth="1" min="14" max="14"/>
    <col width="20" customWidth="1" min="15" max="15"/>
    <col width="22" customWidth="1" min="16" max="16"/>
    <col width="26" customWidth="1" min="17" max="17"/>
    <col width="24" customWidth="1" min="18" max="18"/>
    <col width="23" customWidth="1" min="19" max="19"/>
    <col width="25" customWidth="1" min="20" max="20"/>
    <col width="28" customWidth="1" min="21" max="21"/>
    <col width="22" customWidth="1" min="22" max="22"/>
  </cols>
  <sheetData>
    <row r="1" ht="30" customHeight="1">
      <c r="A1" s="4" t="inlineStr">
        <is>
          <t>تقرير فحص الدفعة - المنافسة MED-2026-318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4" customHeight="1">
      <c r="A2" s="5" t="inlineStr">
        <is>
          <t>المصادر: MED-2026-318-01-001.pdf (92 صفحة)، وعقد المنافسة.pdf (5 صفحات). جميع القيم بالريال السعودي.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عمولة نوبكو</t>
        </is>
      </c>
      <c r="B3" s="26" t="n">
        <v>0.04</v>
      </c>
      <c r="C3" s="2" t="inlineStr">
        <is>
          <t>إجمالي السداد المستحق</t>
        </is>
      </c>
      <c r="D3" s="27">
        <f>SUM(S6:S23)</f>
        <v/>
      </c>
      <c r="E3" s="2" t="inlineStr">
        <is>
          <t>عدد السندات</t>
        </is>
      </c>
      <c r="F3" s="2" t="n">
        <v>18</v>
      </c>
      <c r="G3" s="2" t="inlineStr">
        <is>
          <t>رقم المنافسة</t>
        </is>
      </c>
      <c r="H3" s="2" t="inlineStr">
        <is>
          <t>MED-2026-318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24" customHeight="1">
      <c r="A4" s="5" t="inlineStr">
        <is>
          <t>أرقام الأصناف والكميات والأسعار متقابلة بالترتيب نفسه في كل صف؛ تفاصيل البنود في ورقة الأصناف.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66" customHeight="1">
      <c r="A5" s="9" t="inlineStr">
        <is>
          <t>رقم السند</t>
        </is>
      </c>
      <c r="B5" s="9" t="inlineStr">
        <is>
          <t>تاريخ السند</t>
        </is>
      </c>
      <c r="C5" s="9" t="inlineStr">
        <is>
          <t>رقم الفاتورة</t>
        </is>
      </c>
      <c r="D5" s="9" t="inlineStr">
        <is>
          <t>تاريخ الفاتورة</t>
        </is>
      </c>
      <c r="E5" s="9" t="inlineStr">
        <is>
          <t>رقم الأصناف</t>
        </is>
      </c>
      <c r="F5" s="9" t="inlineStr">
        <is>
          <t>عدد الوحدات لكل صنف</t>
        </is>
      </c>
      <c r="G5" s="9" t="inlineStr">
        <is>
          <t>سعر الوحدة لكل صنف</t>
        </is>
      </c>
      <c r="H5" s="9" t="inlineStr">
        <is>
          <t>صافي الإجمالي لكامل السند</t>
        </is>
      </c>
      <c r="I5" s="9" t="inlineStr">
        <is>
          <t>عمولة نوبكو</t>
        </is>
      </c>
      <c r="J5" s="9" t="inlineStr">
        <is>
          <t>هل يوجد ضريبة (نعم/لا)</t>
        </is>
      </c>
      <c r="K5" s="9" t="inlineStr">
        <is>
          <t>نوع الضريبة (جزئي/كامل السند)</t>
        </is>
      </c>
      <c r="L5" s="9" t="inlineStr">
        <is>
          <t>غرامة التأخير (نعم/لا)</t>
        </is>
      </c>
      <c r="M5" s="9" t="inlineStr">
        <is>
          <t>مبلغ الغرامة</t>
        </is>
      </c>
      <c r="N5" s="9" t="inlineStr">
        <is>
          <t>غرامات أخرى (نعم/لا)</t>
        </is>
      </c>
      <c r="O5" s="9" t="inlineStr">
        <is>
          <t>مبلغ الغرامات الأخرى</t>
        </is>
      </c>
      <c r="P5" s="9" t="inlineStr">
        <is>
          <t>الإجمالي بعد عمولة نوبكو</t>
        </is>
      </c>
      <c r="Q5" s="9" t="inlineStr">
        <is>
          <t>الإجمالي بعد عمولة نوبكو وضريبة القيمة المضافة</t>
        </is>
      </c>
      <c r="R5" s="9" t="inlineStr">
        <is>
          <t>الإجمالي بعد خصم الغرامات إن وجدت</t>
        </is>
      </c>
      <c r="S5" s="9" t="inlineStr">
        <is>
          <t>مبلغ السداد المستحق (للسند)</t>
        </is>
      </c>
      <c r="T5" s="9" t="inlineStr">
        <is>
          <t>حالة السند (سليم/غير سليم محاسبياً)</t>
        </is>
      </c>
      <c r="U5" s="9" t="inlineStr">
        <is>
          <t>سبب أنه غير سليم</t>
        </is>
      </c>
      <c r="V5" s="9" t="inlineStr">
        <is>
          <t>رقم المنافسة</t>
        </is>
      </c>
    </row>
    <row r="6" ht="78" customHeight="1">
      <c r="A6" s="3" t="inlineStr">
        <is>
          <t>STO0000003084</t>
        </is>
      </c>
      <c r="B6" s="28" t="n">
        <v>46288</v>
      </c>
      <c r="C6" s="3" t="inlineStr">
        <is>
          <t>5002601670</t>
        </is>
      </c>
      <c r="D6" s="28" t="n">
        <v>46288</v>
      </c>
      <c r="E6" s="18" t="inlineStr">
        <is>
          <t>RESP-004
RESP-006
RESP-008
RESP-010</t>
        </is>
      </c>
      <c r="F6" s="18" t="inlineStr">
        <is>
          <t>1
1
1
10</t>
        </is>
      </c>
      <c r="G6" s="18" t="inlineStr">
        <is>
          <t>20.00
15.00
50.00
50.00</t>
        </is>
      </c>
      <c r="H6" s="29">
        <f>SUMIFS('الأصناف'!$E$6:$E$81,'الأصناف'!$A$6:$A$81,A6)</f>
        <v/>
      </c>
      <c r="I6" s="29">
        <f>ROUND(H6*$B$3,2)</f>
        <v/>
      </c>
      <c r="J6" s="3" t="inlineStr">
        <is>
          <t>لا</t>
        </is>
      </c>
      <c r="K6" s="3" t="str"/>
      <c r="L6" s="3" t="inlineStr">
        <is>
          <t>لا</t>
        </is>
      </c>
      <c r="M6" s="29" t="n">
        <v>0</v>
      </c>
      <c r="N6" s="3" t="inlineStr">
        <is>
          <t>لا</t>
        </is>
      </c>
      <c r="O6" s="29" t="n">
        <v>0</v>
      </c>
      <c r="P6" s="29">
        <f>H6+I6</f>
        <v/>
      </c>
      <c r="Q6" s="29">
        <f>P6+SUMIFS('الأصناف'!$I$6:$I$81,'الأصناف'!$A$6:$A$81,A6)</f>
        <v/>
      </c>
      <c r="R6" s="29">
        <f>Q6-M6-O6</f>
        <v/>
      </c>
      <c r="S6" s="29">
        <f>R6</f>
        <v/>
      </c>
      <c r="T6" s="20" t="inlineStr">
        <is>
          <t>سليم</t>
        </is>
      </c>
      <c r="U6" s="3" t="str"/>
      <c r="V6" s="3" t="inlineStr">
        <is>
          <t>MED-2026-318</t>
        </is>
      </c>
    </row>
    <row r="7" ht="44" customHeight="1"/>
    <row r="8" ht="44" customHeight="1"/>
    <row r="9" ht="44" customHeight="1"/>
    <row r="10" ht="78" customHeight="1"/>
    <row r="11" ht="44" customHeight="1"/>
    <row r="12" ht="44" customHeight="1"/>
    <row r="13" ht="78" customHeight="1"/>
    <row r="14" ht="163" customHeight="1"/>
    <row r="15" ht="146" customHeight="1"/>
    <row r="16" ht="146" customHeight="1"/>
    <row r="17" ht="129" customHeight="1"/>
    <row r="18" ht="146" customHeight="1"/>
    <row r="19" ht="112" customHeight="1"/>
    <row r="20" ht="44" customHeight="1"/>
    <row r="21" ht="44" customHeight="1"/>
    <row r="22" ht="61" customHeight="1"/>
    <row r="23" ht="29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9769C"/>
    <outlinePr summaryBelow="1" summaryRight="1"/>
    <pageSetUpPr/>
  </sheetPr>
  <dimension ref="A1:O6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6" customWidth="1" min="4" max="4"/>
    <col width="18" customWidth="1" min="5" max="5"/>
    <col width="21" customWidth="1" min="6" max="6"/>
    <col width="21" customWidth="1" min="7" max="7"/>
    <col width="22" customWidth="1" min="8" max="8"/>
    <col width="24" customWidth="1" min="9" max="9"/>
    <col width="23" customWidth="1" min="10" max="10"/>
    <col width="20" customWidth="1" min="11" max="11"/>
    <col width="15" customWidth="1" min="12" max="12"/>
    <col width="17" customWidth="1" min="13" max="13"/>
    <col width="17" customWidth="1" min="14" max="14"/>
    <col width="18" customWidth="1" min="15" max="15"/>
  </cols>
  <sheetData>
    <row r="1" ht="30" customHeight="1">
      <c r="A1" s="4" t="inlineStr">
        <is>
          <t>تفصيل أصناف سندات الاستلام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5" t="inlineStr">
        <is>
          <t>المصدر: MED-2026-318-01-001.pdf. صف واحد لكل صنف في السند؛ الفاتورة المشتركة محتسبة مرة واحدة.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66" customHeight="1">
      <c r="A5" s="9" t="inlineStr">
        <is>
          <t>رقم السند</t>
        </is>
      </c>
      <c r="B5" s="9" t="inlineStr">
        <is>
          <t>رقم الصنف</t>
        </is>
      </c>
      <c r="C5" s="9" t="inlineStr">
        <is>
          <t>عدد الوحدات</t>
        </is>
      </c>
      <c r="D5" s="9" t="inlineStr">
        <is>
          <t>سعر الوحدة</t>
        </is>
      </c>
      <c r="E5" s="9" t="inlineStr">
        <is>
          <t>صافي الصنف</t>
        </is>
      </c>
      <c r="F5" s="9" t="inlineStr">
        <is>
          <t>إجمالي الصنف في السند</t>
        </is>
      </c>
      <c r="G5" s="9" t="inlineStr">
        <is>
          <t>صافي الصنف في الفاتورة</t>
        </is>
      </c>
      <c r="H5" s="9" t="inlineStr">
        <is>
          <t>عمولة نوبكو في الفاتورة</t>
        </is>
      </c>
      <c r="I5" s="9" t="inlineStr">
        <is>
          <t>ضريبة القيمة المضافة في الفاتورة</t>
        </is>
      </c>
      <c r="J5" s="9" t="inlineStr">
        <is>
          <t>رقم التعميد</t>
        </is>
      </c>
      <c r="K5" s="9" t="inlineStr">
        <is>
          <t>سعر الوحدة في التعميد</t>
        </is>
      </c>
      <c r="L5" s="9" t="inlineStr">
        <is>
          <t>صفحة السند</t>
        </is>
      </c>
      <c r="M5" s="9" t="inlineStr">
        <is>
          <t>صفحة الفاتورة</t>
        </is>
      </c>
      <c r="N5" s="9" t="inlineStr">
        <is>
          <t>صفحة التعميد</t>
        </is>
      </c>
      <c r="O5" s="9" t="inlineStr">
        <is>
          <t>مطابقة الصنف</t>
        </is>
      </c>
    </row>
    <row r="6" ht="25" customHeight="1">
      <c r="A6" s="3" t="inlineStr">
        <is>
          <t>STO0000003084</t>
        </is>
      </c>
      <c r="B6" s="3" t="inlineStr">
        <is>
          <t>RESP-004</t>
        </is>
      </c>
      <c r="C6" s="30" t="n">
        <v>1</v>
      </c>
      <c r="D6" s="29" t="n">
        <v>20</v>
      </c>
      <c r="E6" s="29">
        <f>C6*D6</f>
        <v/>
      </c>
      <c r="F6" s="29" t="n">
        <v>20.8</v>
      </c>
      <c r="G6" s="29" t="n">
        <v>20</v>
      </c>
      <c r="H6" s="29" t="n">
        <v>0.8</v>
      </c>
      <c r="I6" s="29" t="n">
        <v>0</v>
      </c>
      <c r="J6" s="3" t="inlineStr">
        <is>
          <t>PON0000000580</t>
        </is>
      </c>
      <c r="K6" s="29" t="n">
        <v>20</v>
      </c>
      <c r="L6" s="31" t="n">
        <v>13</v>
      </c>
      <c r="M6" s="31" t="n">
        <v>18</v>
      </c>
      <c r="N6" s="31" t="n">
        <v>1</v>
      </c>
      <c r="O6" s="3" t="inlineStr">
        <is>
          <t>مطابق</t>
        </is>
      </c>
    </row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B9CAB"/>
    <outlinePr summaryBelow="1" summaryRight="1"/>
    <pageSetUpPr/>
  </sheetPr>
  <dimension ref="A1:Q6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20" customWidth="1" min="4" max="4"/>
    <col width="14" customWidth="1" min="5" max="5"/>
    <col width="18" customWidth="1" min="6" max="6"/>
    <col width="19" customWidth="1" min="7" max="7"/>
    <col width="19" customWidth="1" min="8" max="8"/>
    <col width="21" customWidth="1" min="9" max="9"/>
    <col width="20" customWidth="1" min="10" max="10"/>
    <col width="22" customWidth="1" min="11" max="11"/>
    <col width="20" customWidth="1" min="12" max="12"/>
    <col width="22" customWidth="1" min="13" max="13"/>
    <col width="23" customWidth="1" min="14" max="14"/>
    <col width="22" customWidth="1" min="15" max="15"/>
    <col width="20" customWidth="1" min="16" max="16"/>
    <col width="19" customWidth="1" min="17" max="17"/>
  </cols>
  <sheetData>
    <row r="1" ht="30" customHeight="1">
      <c r="A1" s="4" t="inlineStr">
        <is>
          <t>مطابقة السند والفاتورة والتعميد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4" customHeight="1">
      <c r="A2" s="5" t="inlineStr">
        <is>
          <t>فاتورة 5002601674 مرفقة ثلاث مرات في الملف؛ احتسبت بنودها وتوزيعها مرة واحدة، مع ذكر صفحات النسخة المرتبطة بكل سند.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4" customHeight="1">
      <c r="A3" s="5" t="inlineStr">
        <is>
          <t>شروط العقد، ص 3 و5: عمولة نوبكو 4% من الصافي، دون ضريبة قيمة مضافة في هذا المثال. الدفعة الأولى.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66" customHeight="1">
      <c r="A5" s="9" t="inlineStr">
        <is>
          <t>رقم السند</t>
        </is>
      </c>
      <c r="B5" s="9" t="inlineStr">
        <is>
          <t>رقم التعميد</t>
        </is>
      </c>
      <c r="C5" s="9" t="inlineStr">
        <is>
          <t>رقم الفاتورة</t>
        </is>
      </c>
      <c r="D5" s="9" t="inlineStr">
        <is>
          <t>المنافسة</t>
        </is>
      </c>
      <c r="E5" s="9" t="inlineStr">
        <is>
          <t>رقم الدفعة</t>
        </is>
      </c>
      <c r="F5" s="9" t="inlineStr">
        <is>
          <t>صفحات السند</t>
        </is>
      </c>
      <c r="G5" s="9" t="inlineStr">
        <is>
          <t>صفحات الفاتورة</t>
        </is>
      </c>
      <c r="H5" s="9" t="inlineStr">
        <is>
          <t>صفحات التعميد</t>
        </is>
      </c>
      <c r="I5" s="9" t="inlineStr">
        <is>
          <t>صافي السند في المصدر</t>
        </is>
      </c>
      <c r="J5" s="9" t="inlineStr">
        <is>
          <t>الصافي المحسوب</t>
        </is>
      </c>
      <c r="K5" s="9" t="inlineStr">
        <is>
          <t>عمولة نوبكو في المصدر</t>
        </is>
      </c>
      <c r="L5" s="9" t="inlineStr">
        <is>
          <t>العمولة المحسوبة</t>
        </is>
      </c>
      <c r="M5" s="9" t="inlineStr">
        <is>
          <t>ضريبة السند في المصدر</t>
        </is>
      </c>
      <c r="N5" s="9" t="inlineStr">
        <is>
          <t>إجمالي السند في المصدر</t>
        </is>
      </c>
      <c r="O5" s="9" t="inlineStr">
        <is>
          <t>مبلغ السند في الفاتورة</t>
        </is>
      </c>
      <c r="P5" s="9" t="inlineStr">
        <is>
          <t>السداد المحسوب</t>
        </is>
      </c>
      <c r="Q5" s="9" t="inlineStr">
        <is>
          <t>نتيجة المطابقة</t>
        </is>
      </c>
    </row>
    <row r="6" ht="27" customHeight="1">
      <c r="A6" s="3" t="inlineStr">
        <is>
          <t>STO0000003084</t>
        </is>
      </c>
      <c r="B6" s="3" t="inlineStr">
        <is>
          <t>PON0000000580</t>
        </is>
      </c>
      <c r="C6" s="3" t="inlineStr">
        <is>
          <t>5002601670</t>
        </is>
      </c>
      <c r="D6" s="3" t="inlineStr">
        <is>
          <t>MED-2026-318</t>
        </is>
      </c>
      <c r="E6" s="31" t="n">
        <v>1</v>
      </c>
      <c r="F6" s="3" t="inlineStr">
        <is>
          <t>13</t>
        </is>
      </c>
      <c r="G6" s="3" t="inlineStr">
        <is>
          <t>18، 19</t>
        </is>
      </c>
      <c r="H6" s="3" t="inlineStr">
        <is>
          <t>1، 2، 3</t>
        </is>
      </c>
      <c r="I6" s="29" t="n">
        <v>585</v>
      </c>
      <c r="J6" s="29">
        <f>'تقرير السندات'!H6</f>
        <v/>
      </c>
      <c r="K6" s="29" t="n">
        <v>23.4</v>
      </c>
      <c r="L6" s="29">
        <f>'تقرير السندات'!I6</f>
        <v/>
      </c>
      <c r="M6" s="29" t="n">
        <v>0</v>
      </c>
      <c r="N6" s="29" t="n">
        <v>608.4</v>
      </c>
      <c r="O6" s="29" t="n">
        <v>608.4</v>
      </c>
      <c r="P6" s="29">
        <f>'تقرير السندات'!S6</f>
        <v/>
      </c>
      <c r="Q6" s="3" t="inlineStr">
        <is>
          <t>مطابق</t>
        </is>
      </c>
    </row>
    <row r="7" ht="27" customHeight="1"/>
    <row r="8" ht="27" customHeight="1"/>
    <row r="9" ht="27" customHeight="1"/>
    <row r="10" ht="27" customHeight="1"/>
    <row r="11" ht="27" customHeight="1"/>
    <row r="12" ht="27" customHeight="1"/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2026-10-15T22:48:38Z</dcterms:created>
  <dcterms:modified xsi:type="dcterms:W3CDTF">2026-10-15T22:48:38Z</dcterms:modified>
</cp:coreProperties>
</file>